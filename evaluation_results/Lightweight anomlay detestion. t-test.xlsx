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DFS" sheetId="1" r:id="rId4"/>
    <sheet state="visible" name="BGL" sheetId="2" r:id="rId5"/>
  </sheets>
  <definedNames>
    <definedName hidden="1" localSheetId="1" name="_xlnm._FilterDatabase">BGL!$B$29:$G$101</definedName>
  </definedNames>
  <calcPr/>
</workbook>
</file>

<file path=xl/sharedStrings.xml><?xml version="1.0" encoding="utf-8"?>
<sst xmlns="http://schemas.openxmlformats.org/spreadsheetml/2006/main" count="397" uniqueCount="42">
  <si>
    <t>p-value lightweight techniques vs DL in various FL settings</t>
  </si>
  <si>
    <t>Methods</t>
  </si>
  <si>
    <t>LA/1</t>
  </si>
  <si>
    <t>DL/1</t>
  </si>
  <si>
    <t>LA/5/nonIID</t>
  </si>
  <si>
    <t>DL/5/nonIID</t>
  </si>
  <si>
    <t>LA/5/IID</t>
  </si>
  <si>
    <t>DL/5/IID</t>
  </si>
  <si>
    <t>LA/10/nonIID</t>
  </si>
  <si>
    <t>DL/10/nonIID</t>
  </si>
  <si>
    <t>LA/10/IID</t>
  </si>
  <si>
    <t>DL/10/IID</t>
  </si>
  <si>
    <t>LA/50/nonIID</t>
  </si>
  <si>
    <t>DL/50/nonIID</t>
  </si>
  <si>
    <t>LA/50/IID</t>
  </si>
  <si>
    <t>DL/50/IID</t>
  </si>
  <si>
    <t>KnownEvents</t>
  </si>
  <si>
    <t>LengthDetection</t>
  </si>
  <si>
    <t>ECVC</t>
  </si>
  <si>
    <t>KnownEvents LengthDetection</t>
  </si>
  <si>
    <t>KnownEvents LengthDetection ECVC</t>
  </si>
  <si>
    <t>2-Gram</t>
  </si>
  <si>
    <t>3-Gram</t>
  </si>
  <si>
    <t>LengthDetection 2-Gram</t>
  </si>
  <si>
    <t>EditDistance</t>
  </si>
  <si>
    <t>KnownEvents LengthDetection EditDistance</t>
  </si>
  <si>
    <t>Statistical significance testing based on p&lt;0.05</t>
  </si>
  <si>
    <t>method</t>
  </si>
  <si>
    <t>clients number</t>
  </si>
  <si>
    <t>distribution</t>
  </si>
  <si>
    <t>run number</t>
  </si>
  <si>
    <t>F1-Score</t>
  </si>
  <si>
    <t>loganomaly</t>
  </si>
  <si>
    <t>-</t>
  </si>
  <si>
    <t>deeplog</t>
  </si>
  <si>
    <t>non-IID</t>
  </si>
  <si>
    <t>IID</t>
  </si>
  <si>
    <t>model</t>
  </si>
  <si>
    <t>num_run</t>
  </si>
  <si>
    <t>number_of_clients</t>
  </si>
  <si>
    <t>F1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</si>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</sst>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color theme="1"/>
      <name val="Helvetica Neue"/>
    </font>
    <font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0" fontId="4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left" readingOrder="0" vertical="top"/>
    </xf>
    <xf borderId="4" fillId="0" fontId="4" numFmtId="0" xfId="0" applyAlignment="1" applyBorder="1" applyFont="1">
      <alignment readingOrder="0"/>
    </xf>
    <xf borderId="4" fillId="0" fontId="7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vertical="top"/>
    </xf>
    <xf borderId="4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4" fillId="0" fontId="8" numFmtId="0" xfId="0" applyAlignment="1" applyBorder="1" applyFont="1">
      <alignment horizontal="right" shrinkToFit="0" vertical="top" wrapText="0"/>
    </xf>
    <xf borderId="4" fillId="0" fontId="8" numFmtId="0" xfId="0" applyAlignment="1" applyBorder="1" applyFont="1">
      <alignment horizontal="right" vertical="top"/>
    </xf>
    <xf borderId="4" fillId="2" fontId="5" numFmtId="0" xfId="0" applyAlignment="1" applyBorder="1" applyFill="1" applyFont="1">
      <alignment readingOrder="0" shrinkToFit="0" vertical="top" wrapText="0"/>
    </xf>
    <xf borderId="0" fillId="0" fontId="1" numFmtId="0" xfId="0" applyAlignment="1" applyFont="1">
      <alignment readingOrder="0"/>
    </xf>
    <xf borderId="4" fillId="2" fontId="5" numFmtId="0" xfId="0" applyAlignment="1" applyBorder="1" applyFont="1">
      <alignment readingOrder="0" vertical="top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2" pivot="0" name="HDFS-style">
      <tableStyleElement dxfId="1" type="firstRowStripe"/>
      <tableStyleElement dxfId="2" type="secondRowStripe"/>
    </tableStyle>
    <tableStyle count="2" pivot="0" name="HDFS-style 2">
      <tableStyleElement dxfId="1" type="firstRowStripe"/>
      <tableStyleElement dxfId="2" type="secondRowStripe"/>
    </tableStyle>
    <tableStyle count="4" pivot="0" name="HDFS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BGL-style">
      <tableStyleElement dxfId="1" type="firstRowStripe"/>
      <tableStyleElement dxfId="2" type="secondRowStripe"/>
    </tableStyle>
    <tableStyle count="2" pivot="0" name="BGL-style 2">
      <tableStyleElement dxfId="1" type="firstRowStripe"/>
      <tableStyleElement dxfId="2" type="secondRowStripe"/>
    </tableStyle>
    <tableStyle count="4" pivot="0" name="BGL-style 3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BGL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C13" displayName="Table_1" name="Table_1" id="1">
  <tableColumns count="2">
    <tableColumn name="Column1" id="1"/>
    <tableColumn name="Column2" id="2"/>
  </tableColumns>
  <tableStyleInfo name="HDFS-style" showColumnStripes="0" showFirstColumn="1" showLastColumn="1" showRowStripes="1"/>
</table>
</file>

<file path=xl/tables/table2.xml><?xml version="1.0" encoding="utf-8"?>
<table xmlns="http://schemas.openxmlformats.org/spreadsheetml/2006/main" headerRowCount="0" ref="B17:C26" displayName="Table_2" name="Table_2" id="2">
  <tableColumns count="2">
    <tableColumn name="Column1" id="1"/>
    <tableColumn name="Column2" id="2"/>
  </tableColumns>
  <tableStyleInfo name="HDFS-style 2" showColumnStripes="0" showFirstColumn="1" showLastColumn="1" showRowStripes="1"/>
</table>
</file>

<file path=xl/tables/table3.xml><?xml version="1.0" encoding="utf-8"?>
<table xmlns="http://schemas.openxmlformats.org/spreadsheetml/2006/main" ref="B29:F101" displayName="Table1" name="Table1" id="3">
  <tableColumns count="5">
    <tableColumn name="method" id="1"/>
    <tableColumn name="clients number" id="2"/>
    <tableColumn name="distribution" id="3"/>
    <tableColumn name="run number" id="4"/>
    <tableColumn name="F1-Score" id="5"/>
  </tableColumns>
  <tableStyleInfo name="HDF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4:C13" displayName="Table_3" name="Table_3" id="4">
  <tableColumns count="2">
    <tableColumn name="Column1" id="1"/>
    <tableColumn name="Column2" id="2"/>
  </tableColumns>
  <tableStyleInfo name="BGL-style" showColumnStripes="0" showFirstColumn="1" showLastColumn="1" showRowStripes="1"/>
</table>
</file>

<file path=xl/tables/table5.xml><?xml version="1.0" encoding="utf-8"?>
<table xmlns="http://schemas.openxmlformats.org/spreadsheetml/2006/main" headerRowCount="0" ref="B17:C26" displayName="Table_4" name="Table_4" id="5">
  <tableColumns count="2">
    <tableColumn name="Column1" id="1"/>
    <tableColumn name="Column2" id="2"/>
  </tableColumns>
  <tableStyleInfo name="BGL-style 2" showColumnStripes="0" showFirstColumn="1" showLastColumn="1" showRowStripes="1"/>
</table>
</file>

<file path=xl/tables/table6.xml><?xml version="1.0" encoding="utf-8"?>
<table xmlns="http://schemas.openxmlformats.org/spreadsheetml/2006/main" ref="B29:G101" displayName="Table2" name="Table2" id="6">
  <autoFilter ref="$B$29:$G$101"/>
  <tableColumns count="6">
    <tableColumn name="distribution" id="1"/>
    <tableColumn name="model" id="2"/>
    <tableColumn name="num_run" id="3"/>
    <tableColumn name="number_of_clients" id="4"/>
    <tableColumn name="F1" id="5"/>
    <tableColumn name="Column 1" id="6"/>
  </tableColumns>
  <tableStyleInfo name="BGL-style 3" showColumnStripes="0" showFirstColumn="1" showLastColumn="1" showRowStripes="1"/>
</table>
</file>

<file path=xl/tables/table7.xml><?xml version="1.0" encoding="utf-8"?>
<table xmlns="http://schemas.openxmlformats.org/spreadsheetml/2006/main" headerRowCount="0" ref="B105:B113" displayName="Table_5" name="Table_5" id="7">
  <tableColumns count="1">
    <tableColumn name="Column1" id="1"/>
  </tableColumns>
  <tableStyleInfo name="BG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  <col customWidth="1" min="4" max="4" width="18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>
      <c r="A3" s="6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B4" s="8" t="s">
        <v>16</v>
      </c>
      <c r="C4" s="9">
        <f>_xlfn.T.TEST( $F$72:$F$74,F30:F32, 2, 1)</f>
        <v>0.07036708624</v>
      </c>
      <c r="D4" s="9">
        <f>_xlfn.T.TEST( $F$72:$F$74,$F33:$F35, 2, 1)</f>
        <v>0.07006200592</v>
      </c>
      <c r="E4" s="9">
        <f>_xlfn.T.TEST( $F$72:$F$74,$F36:$F38, 2, 1)</f>
        <v>0.07558986858</v>
      </c>
      <c r="F4" s="9">
        <f>_xlfn.T.TEST( $F$72:$F$74,$F39:$F41, 2, 1)</f>
        <v>0.07692562352</v>
      </c>
      <c r="G4" s="9">
        <f>_xlfn.T.TEST( $F$72:$F$74,$F42:$F44, 2, 1)</f>
        <v>0.07900370939</v>
      </c>
      <c r="H4" s="9">
        <f>_xlfn.T.TEST( $F$72:$F$74,$F45:$F47, 2, 1)</f>
        <v>0.07132660292</v>
      </c>
      <c r="I4" s="9">
        <f>_xlfn.T.TEST( $F$72:$F$74,$F48:$F50, 2, 1)</f>
        <v>0.07251163045</v>
      </c>
      <c r="J4" s="9">
        <f>_xlfn.T.TEST( $F$72:$F$74,$F51:$F53, 2, 1)</f>
        <v>0.07349739972</v>
      </c>
      <c r="K4" s="9">
        <f>_xlfn.T.TEST( $F$72:$F$74,$F54:$F56, 2, 1)</f>
        <v>0.07005394702</v>
      </c>
      <c r="L4" s="9">
        <f>_xlfn.T.TEST( $F$72:$F$74,$F57:$F59, 2, 1)</f>
        <v>0.07005394702</v>
      </c>
      <c r="M4" s="9">
        <f>_xlfn.T.TEST( $F$72:$F$74,$F60:$F62, 2, 1)</f>
        <v>0.07005394702</v>
      </c>
      <c r="N4" s="9">
        <f>_xlfn.T.TEST( $F$72:$F$74,$F63:$F65, 2, 1)</f>
        <v>0.07005394702</v>
      </c>
      <c r="O4" s="9">
        <f>_xlfn.T.TEST( $F$72:$F$74,$F66:$F68, 2, 1)</f>
        <v>0.07005394702</v>
      </c>
      <c r="P4" s="9">
        <f>_xlfn.T.TEST( $F$72:$F$74,$F69:$F71, 2, 1)</f>
        <v>0.07004565402</v>
      </c>
    </row>
    <row r="5">
      <c r="B5" s="8" t="s">
        <v>17</v>
      </c>
      <c r="C5" s="9">
        <f>_xlfn.T.TEST( $F$75:$F$77,F30:F32, 2, 1)</f>
        <v>0.001779552745</v>
      </c>
      <c r="D5" s="9">
        <f>_xlfn.T.TEST( $F$75:$F$77,F33:F35, 2, 1)</f>
        <v>0.001871340075</v>
      </c>
      <c r="E5" s="9">
        <f>_xlfn.T.TEST( $F$75:$F$77,$F36:$F38, 2, 1)</f>
        <v>0.002477538121</v>
      </c>
      <c r="F5" s="9">
        <f>_xlfn.T.TEST( $F$75:$F$77,$F39:$F41, 2, 1)</f>
        <v>0.00218294421</v>
      </c>
      <c r="G5" s="9">
        <f>_xlfn.T.TEST( $F$75:$F$77,$F42:$F44, 2, 1)</f>
        <v>0.002050389058</v>
      </c>
      <c r="H5" s="9">
        <f>_xlfn.T.TEST( $F$75:$F$77,$F45:$F47, 2, 1)</f>
        <v>0.001926150148</v>
      </c>
      <c r="I5" s="9">
        <f>_xlfn.T.TEST( $F$75:$F$77,$F48:$F50, 2, 1)</f>
        <v>0.001556583054</v>
      </c>
      <c r="J5" s="9">
        <f>_xlfn.T.TEST( $F$75:$F$77,$F51:$F53, 2, 1)</f>
        <v>0.001599828893</v>
      </c>
      <c r="K5" s="9">
        <f>_xlfn.T.TEST( $F$75:$F$77,$F54:$F56, 2, 1)</f>
        <v>0.001865736749</v>
      </c>
      <c r="L5" s="9">
        <f>_xlfn.T.TEST( $F$75:$F$77,$F57:$F59, 2, 1)</f>
        <v>0.001865736749</v>
      </c>
      <c r="M5" s="9">
        <f>_xlfn.T.TEST( $F$75:$F$77,$F60:$F62, 2, 1)</f>
        <v>0.001865736749</v>
      </c>
      <c r="N5" s="9">
        <f>_xlfn.T.TEST( $F$75:$F$77,$F63:$F65, 2, 1)</f>
        <v>0.001865736749</v>
      </c>
      <c r="O5" s="9">
        <f>_xlfn.T.TEST( $F$75:$F$77,$F66:$F68, 2, 1)</f>
        <v>0.001865736749</v>
      </c>
      <c r="P5" s="9">
        <f>_xlfn.T.TEST( $F$75:$F$77,$F69:$F71, 2, 1)</f>
        <v>0.001870561626</v>
      </c>
    </row>
    <row r="6">
      <c r="B6" s="8" t="s">
        <v>18</v>
      </c>
      <c r="C6" s="9">
        <f>_xlfn.T.TEST( $F$78:$F$80,F30:F32, 2, 1)</f>
        <v>0.02856769811</v>
      </c>
      <c r="D6" s="9">
        <f>_xlfn.T.TEST( $F$78:$F$80,F33:F35, 2, 1)</f>
        <v>0.02790042026</v>
      </c>
      <c r="E6" s="9">
        <f>_xlfn.T.TEST( $F$78:$F$80,$F36:$F38, 2, 1)</f>
        <v>0.02030879351</v>
      </c>
      <c r="F6" s="9">
        <f>_xlfn.T.TEST( $F$78:$F$80,$F39:$F41, 2, 1)</f>
        <v>0.01059863444</v>
      </c>
      <c r="G6" s="9">
        <f>_xlfn.T.TEST( $F$78:$F$80,$F42:$F44, 2, 1)</f>
        <v>0.05270081899</v>
      </c>
      <c r="H6" s="9">
        <f>_xlfn.T.TEST( $F$78:$F$80,$F45:$F47, 2, 1)</f>
        <v>0.0316422693</v>
      </c>
      <c r="I6" s="9">
        <f>_xlfn.T.TEST( $F$78:$F$80,$F48:$F50, 2, 1)</f>
        <v>0.02072982468</v>
      </c>
      <c r="J6" s="9">
        <f>_xlfn.T.TEST( $F$78:$F$80,$F51:$F53, 2, 1)</f>
        <v>0.02511448803</v>
      </c>
      <c r="K6" s="9">
        <f>_xlfn.T.TEST( $F$78:$F$80,$F54:$F56, 2, 1)</f>
        <v>0.02752987074</v>
      </c>
      <c r="L6" s="9">
        <f>_xlfn.T.TEST( $F$78:$F$80,$F57:$F59, 2, 1)</f>
        <v>0.02752987074</v>
      </c>
      <c r="M6" s="9">
        <f>_xlfn.T.TEST( $F$78:$F$80,$F60:$F62, 2, 1)</f>
        <v>0.02752987074</v>
      </c>
      <c r="N6" s="9">
        <f>_xlfn.T.TEST( $F$78:$F$80,$F63:$F65, 2, 1)</f>
        <v>0.02752987074</v>
      </c>
      <c r="O6" s="9">
        <f>_xlfn.T.TEST( $F$78:$F$80,$F66:$F68, 2, 1)</f>
        <v>0.02752987074</v>
      </c>
      <c r="P6" s="9">
        <f>_xlfn.T.TEST( $F$78:$F$80,$F69:$F71, 2, 1)</f>
        <v>0.02750009482</v>
      </c>
    </row>
    <row r="7">
      <c r="B7" s="8" t="s">
        <v>19</v>
      </c>
      <c r="C7" s="9">
        <f>_xlfn.T.TEST( $F$81:$F$83,$F30:$F32, 2, 1)</f>
        <v>0.178218626</v>
      </c>
      <c r="D7" s="9">
        <f>_xlfn.T.TEST( $F$81:$F$83,F33:F35, 2, 1)</f>
        <v>0.1778923159</v>
      </c>
      <c r="E7" s="9">
        <f>_xlfn.T.TEST( $F$81:$F$83,$F36:$F38, 2, 1)</f>
        <v>0.2053972593</v>
      </c>
      <c r="F7" s="9">
        <f>_xlfn.T.TEST( $F$81:$F$83,$F39:$F41, 2, 1)</f>
        <v>0.2123906706</v>
      </c>
      <c r="G7" s="9">
        <f>_xlfn.T.TEST( $F$81:$F$83,$F42:$F44, 2, 1)</f>
        <v>0.2070316534</v>
      </c>
      <c r="H7" s="9">
        <f>_xlfn.T.TEST( $F$81:$F$83,$F45:$F47, 2, 1)</f>
        <v>0.1821940419</v>
      </c>
      <c r="I7" s="9">
        <f>_xlfn.T.TEST( $F$81:$F$83,$F48:$F50, 2, 1)</f>
        <v>0.1863311469</v>
      </c>
      <c r="J7" s="9">
        <f>_xlfn.T.TEST( $F$81:$F$83,$F51:$F53, 2, 1)</f>
        <v>0.1894328988</v>
      </c>
      <c r="K7" s="9">
        <f>_xlfn.T.TEST( $F$81:$F$83,$F54:$F56, 2, 1)</f>
        <v>0.1778788228</v>
      </c>
      <c r="L7" s="9">
        <f>_xlfn.T.TEST( $F$81:$F$83,$F57:$F59, 2, 1)</f>
        <v>0.1778788228</v>
      </c>
      <c r="M7" s="9">
        <f>_xlfn.T.TEST( $F$81:$F$83,$F60:$F62, 2, 1)</f>
        <v>0.1778788228</v>
      </c>
      <c r="N7" s="9">
        <f>_xlfn.T.TEST( $F$81:$F$83,$F63:$F65, 2, 1)</f>
        <v>0.1778788228</v>
      </c>
      <c r="O7" s="9">
        <f>_xlfn.T.TEST( $F$81:$F$83,$F66:$F68, 2, 1)</f>
        <v>0.1778788228</v>
      </c>
      <c r="P7" s="9">
        <f>_xlfn.T.TEST( $F$81:$F$83,$F69:$F71, 2, 1)</f>
        <v>0.1778914667</v>
      </c>
    </row>
    <row r="8">
      <c r="B8" s="8" t="s">
        <v>20</v>
      </c>
      <c r="C8" s="9">
        <f>_xlfn.T.TEST( $F$84:$F$86,$F30:$F32, 2, 1)</f>
        <v>0.03364062524</v>
      </c>
      <c r="D8" s="9">
        <f>_xlfn.T.TEST( $F$84:$F$86,F33:F35, 2, 1)</f>
        <v>0.0321615935</v>
      </c>
      <c r="E8" s="9">
        <f>_xlfn.T.TEST( $F$84:$F$86,$F36:$F38, 2, 1)</f>
        <v>0.02203136083</v>
      </c>
      <c r="F8" s="9">
        <f>_xlfn.T.TEST( $F$84:$F$86,$F39:$F41, 2, 1)</f>
        <v>0.01290029274</v>
      </c>
      <c r="G8" s="9">
        <f>_xlfn.T.TEST( $F$84:$F$86,$F42:$F44, 2, 1)</f>
        <v>0.05628410876</v>
      </c>
      <c r="H8" s="9">
        <f>_xlfn.T.TEST( $F$84:$F$86,$F45:$F47, 2, 1)</f>
        <v>0.035828963</v>
      </c>
      <c r="I8" s="9">
        <f>_xlfn.T.TEST( $F$84:$F$86,$F48:$F50, 2, 1)</f>
        <v>0.02633586444</v>
      </c>
      <c r="J8" s="9">
        <f>_xlfn.T.TEST( $F$84:$F$86,$F51:$F53, 2, 1)</f>
        <v>0.03058914044</v>
      </c>
      <c r="K8" s="9">
        <f>_xlfn.T.TEST( $F$84:$F$86,$F54:$F56, 2, 1)</f>
        <v>0.03182835455</v>
      </c>
      <c r="L8" s="9">
        <f>_xlfn.T.TEST( $F$84:$F$86,$F57:$F59, 2, 1)</f>
        <v>0.03182835455</v>
      </c>
      <c r="M8" s="9">
        <f>_xlfn.T.TEST( $F$84:$F$86,$F60:$F62, 2, 1)</f>
        <v>0.03182835455</v>
      </c>
      <c r="N8" s="9">
        <f>_xlfn.T.TEST( $F$84:$F$86,$F63:$F65, 2, 1)</f>
        <v>0.03182835455</v>
      </c>
      <c r="O8" s="9">
        <f>_xlfn.T.TEST( $F$84:$F$86,$F66:$F68, 2, 1)</f>
        <v>0.03182835455</v>
      </c>
      <c r="P8" s="9">
        <f>_xlfn.T.TEST( $F$84:$F$86,$F69:$F71, 2, 1)</f>
        <v>0.03175347923</v>
      </c>
    </row>
    <row r="9">
      <c r="B9" s="8" t="s">
        <v>21</v>
      </c>
      <c r="C9" s="9">
        <f>_xlfn.T.TEST( $F$87:$F$89,$F30:$F32, 2, 1)</f>
        <v>0.3233592223</v>
      </c>
      <c r="D9" s="9">
        <f>_xlfn.T.TEST( $F$87:$F$89,$F33:F35, 2, 1)</f>
        <v>0.3243394927</v>
      </c>
      <c r="E9" s="9">
        <f>_xlfn.T.TEST( $F$87:$F$89,$F36:$F38, 2, 1)</f>
        <v>0.4002999588</v>
      </c>
      <c r="F9" s="9">
        <f>_xlfn.T.TEST( $F$87:$F$89,$F39:$F41, 2, 1)</f>
        <v>0.4196975018</v>
      </c>
      <c r="G9" s="9">
        <f>_xlfn.T.TEST( $F$87:$F$89,$F42:$F44, 2, 1)</f>
        <v>0.381728434</v>
      </c>
      <c r="H9" s="9">
        <f>_xlfn.T.TEST( $F$87:$F$89,$F45:$F47, 2, 1)</f>
        <v>0.3333628948</v>
      </c>
      <c r="I9" s="9">
        <f>_xlfn.T.TEST( $F$87:$F$89,$F48:$F50, 2, 1)</f>
        <v>0.341260769</v>
      </c>
      <c r="J9" s="9">
        <f>_xlfn.T.TEST( $F$87:$F$89,$F51:$F53, 2, 1)</f>
        <v>0.3472410943</v>
      </c>
      <c r="K9" s="9">
        <f>_xlfn.T.TEST( $F$87:$F$89,$F54:$F56, 2, 1)</f>
        <v>0.3243270179</v>
      </c>
      <c r="L9" s="9">
        <f>_xlfn.T.TEST( $F$87:$F$89,$F57:$F59, 2, 1)</f>
        <v>0.3243270179</v>
      </c>
      <c r="M9" s="9">
        <f>_xlfn.T.TEST( $F$87:$F$89,$F60:$F62, 2, 1)</f>
        <v>0.3243270179</v>
      </c>
      <c r="N9" s="9">
        <f>_xlfn.T.TEST( $F$87:$F$89,$F63:$F65, 2, 1)</f>
        <v>0.3243270179</v>
      </c>
      <c r="O9" s="9">
        <f>_xlfn.T.TEST( $F$87:$F$89,$F66:$F68, 2, 1)</f>
        <v>0.3243270179</v>
      </c>
      <c r="P9" s="9">
        <f>_xlfn.T.TEST( $F$87:$F$89,$F69:$F71, 2, 1)</f>
        <v>0.3244474008</v>
      </c>
    </row>
    <row r="10">
      <c r="B10" s="8" t="s">
        <v>22</v>
      </c>
      <c r="C10" s="9">
        <f>_xlfn.T.TEST( $F$90:$F$92,$F30:$F32, 2, 1)</f>
        <v>0.1885598157</v>
      </c>
      <c r="D10" s="9">
        <f>_xlfn.T.TEST( $F$90:$F$92,F33:F35, 2, 1)</f>
        <v>0.1899383447</v>
      </c>
      <c r="E10" s="9">
        <f>_xlfn.T.TEST( $F$90:$F$92,$F36:$F38, 2, 1)</f>
        <v>0.2507777899</v>
      </c>
      <c r="F10" s="9">
        <f>_xlfn.T.TEST( $F$90:$F$92,$F39:$F41, 2, 1)</f>
        <v>0.2623598797</v>
      </c>
      <c r="G10" s="9">
        <f>_xlfn.T.TEST( $F$90:$F$92,$F42:$F44, 2, 1)</f>
        <v>0.2351408199</v>
      </c>
      <c r="H10" s="9">
        <f>_xlfn.T.TEST( $F$90:$F$92,$F45:$F47, 2, 1)</f>
        <v>0.1971008334</v>
      </c>
      <c r="I10" s="9">
        <f>_xlfn.T.TEST( $F$90:$F$92,$F48:$F50, 2, 1)</f>
        <v>0.1987564956</v>
      </c>
      <c r="J10" s="9">
        <f>_xlfn.T.TEST( $F$90:$F$92,$F51:$F53, 2, 1)</f>
        <v>0.2038010931</v>
      </c>
      <c r="K10" s="9">
        <f>_xlfn.T.TEST( $F$90:$F$92,$F54:$F56, 2, 1)</f>
        <v>0.1898636624</v>
      </c>
      <c r="L10" s="9">
        <f>_xlfn.T.TEST( $F$90:$F$92,$F57:$F59, 2, 1)</f>
        <v>0.1898636624</v>
      </c>
      <c r="M10" s="9">
        <f>_xlfn.T.TEST( $F$90:$F$92,$F60:$F62, 2, 1)</f>
        <v>0.1898636624</v>
      </c>
      <c r="N10" s="9">
        <f>_xlfn.T.TEST( $F$90:$F$92,$F63:$F65, 2, 1)</f>
        <v>0.1898636624</v>
      </c>
      <c r="O10" s="9">
        <f>_xlfn.T.TEST( $F$90:$F$92,$F66:$F68, 2, 1)</f>
        <v>0.1898636624</v>
      </c>
      <c r="P10" s="9">
        <f>_xlfn.T.TEST( $F$90:$F$92,$F69:$F71, 2, 1)</f>
        <v>0.1899840584</v>
      </c>
    </row>
    <row r="11">
      <c r="B11" s="8" t="s">
        <v>23</v>
      </c>
      <c r="C11" s="9">
        <f>_xlfn.T.TEST( $F$93:$F$95,$F30:$F32, 2, 1)</f>
        <v>0.4411140998</v>
      </c>
      <c r="D11" s="9">
        <f>_xlfn.T.TEST( $F$93:$F$95,F33:F35, 2, 1)</f>
        <v>0.4450790453</v>
      </c>
      <c r="E11" s="9">
        <f>_xlfn.T.TEST( $F$93:$F$95,$F36:$F38, 2, 1)</f>
        <v>0.550650326</v>
      </c>
      <c r="F11" s="9">
        <f>_xlfn.T.TEST( $F$93:$F$95,$F39:$F41, 2, 1)</f>
        <v>0.5762763498</v>
      </c>
      <c r="G11" s="9">
        <f>_xlfn.T.TEST( $F$93:$F$95,$F42:$F44, 2, 1)</f>
        <v>0.4986930519</v>
      </c>
      <c r="H11" s="9">
        <f>_xlfn.T.TEST( $F$93:$F$95,$F45:$F47, 2, 1)</f>
        <v>0.454398509</v>
      </c>
      <c r="I11" s="9">
        <f>_xlfn.T.TEST( $F$93:$F$95,$F48:$F50, 2, 1)</f>
        <v>0.4608909041</v>
      </c>
      <c r="J11" s="9">
        <f>_xlfn.T.TEST( $F$93:$F$95,$F51:$F53, 2, 1)</f>
        <v>0.4661236691</v>
      </c>
      <c r="K11" s="9">
        <f>_xlfn.T.TEST( $F$93:$F$95,$F54:$F56, 2, 1)</f>
        <v>0.4450938825</v>
      </c>
      <c r="L11" s="9">
        <f>_xlfn.T.TEST( $F$93:$F$95,$F57:$F59, 2, 1)</f>
        <v>0.4450938825</v>
      </c>
      <c r="M11" s="9">
        <f>_xlfn.T.TEST( $F$93:$F$95,$F60:$F62, 2, 1)</f>
        <v>0.4450938825</v>
      </c>
      <c r="N11" s="9">
        <f>_xlfn.T.TEST( $F$93:$F$95,$F63:$F65, 2, 1)</f>
        <v>0.4450938825</v>
      </c>
      <c r="O11" s="9">
        <f>_xlfn.T.TEST( $F$93:$F$95,$F66:$F68, 2, 1)</f>
        <v>0.4450938825</v>
      </c>
      <c r="P11" s="9">
        <f>_xlfn.T.TEST( $F$93:$F$95,$F69:$F71, 2, 1)</f>
        <v>0.4453831529</v>
      </c>
    </row>
    <row r="12">
      <c r="B12" s="8" t="s">
        <v>24</v>
      </c>
      <c r="C12" s="9">
        <f>_xlfn.T.TEST( $F$96:$F$98,$F30:$F32, 2, 1)</f>
        <v>0.0000301639018</v>
      </c>
      <c r="D12" s="9">
        <f>_xlfn.T.TEST( $F$96:$F$98,F33:F35, 2, 1)</f>
        <v>0.00002495619851</v>
      </c>
      <c r="E12" s="9">
        <f>_xlfn.T.TEST( $F$96:$F$98,$F36:$F38, 2, 1)</f>
        <v>0.0001634955392</v>
      </c>
      <c r="F12" s="9">
        <f>_xlfn.T.TEST( $F$96:$F$98,$F39:$F41, 2, 1)</f>
        <v>0.00004520851246</v>
      </c>
      <c r="G12" s="9">
        <f>_xlfn.T.TEST( $F$96:$F$98,$F42:$F44, 2, 1)</f>
        <v>0.0005640599113</v>
      </c>
      <c r="H12" s="9">
        <f>_xlfn.T.TEST( $F$96:$F$98,$F45:$F47, 2, 1)</f>
        <v>0.00005528181305</v>
      </c>
      <c r="I12" s="9">
        <f>_xlfn.T.TEST( $F$96:$F$98,$F48:$F50, 2, 1)</f>
        <v>0.00008393089228</v>
      </c>
      <c r="J12" s="9">
        <f>_xlfn.T.TEST( $F$96:$F$98,$F51:$F53, 2, 1)</f>
        <v>0.000125252541</v>
      </c>
      <c r="K12" s="9">
        <f>_xlfn.T.TEST( $F$96:$F$98,$F54:$F56, 2, 1)</f>
        <v>0.00002386903505</v>
      </c>
      <c r="L12" s="9">
        <f>_xlfn.T.TEST( $F$96:$F$98,$F57:$F59, 2, 1)</f>
        <v>0.00002386903505</v>
      </c>
      <c r="M12" s="9">
        <f>_xlfn.T.TEST( $F$96:$F$98,$F60:$F62, 2, 1)</f>
        <v>0.00002386903505</v>
      </c>
      <c r="N12" s="9">
        <f>_xlfn.T.TEST( $F$96:$F$98,$F63:$F65, 2, 1)</f>
        <v>0.00002386903505</v>
      </c>
      <c r="O12" s="9">
        <f>_xlfn.T.TEST( $F$96:$F$98,$F66:$F68, 2, 1)</f>
        <v>0.00002386903505</v>
      </c>
      <c r="P12" s="9">
        <f>_xlfn.T.TEST( $F$96:$F$98,$F69:$F71, 2, 1)</f>
        <v>0.00002396612685</v>
      </c>
    </row>
    <row r="13">
      <c r="B13" s="8" t="s">
        <v>25</v>
      </c>
      <c r="C13" s="9">
        <f>_xlfn.T.TEST( $F$99:$F$101,$F30:$F32, 2, 1)</f>
        <v>0.383422194</v>
      </c>
      <c r="D13" s="9">
        <f>_xlfn.T.TEST( $F$99:$F$101,F33:F35, 2, 1)</f>
        <v>0.3829811094</v>
      </c>
      <c r="E13" s="9">
        <f>_xlfn.T.TEST( $F$99:$F$101,$F36:$F38, 2, 1)</f>
        <v>0.4836420631</v>
      </c>
      <c r="F13" s="9">
        <f>_xlfn.T.TEST( $F$99:$F$101,$F39:$F41, 2, 1)</f>
        <v>0.5172775577</v>
      </c>
      <c r="G13" s="9">
        <f>_xlfn.T.TEST( $F$99:$F$101,$F42:$F44, 2, 1)</f>
        <v>0.4656061874</v>
      </c>
      <c r="H13" s="9">
        <f>_xlfn.T.TEST( $F$99:$F$101,$F45:$F47, 2, 1)</f>
        <v>0.3953201409</v>
      </c>
      <c r="I13" s="9">
        <f>_xlfn.T.TEST( $F$99:$F$101,$F48:$F50, 2, 1)</f>
        <v>0.4140298037</v>
      </c>
      <c r="J13" s="9">
        <f>_xlfn.T.TEST( $F$99:$F$101,$F51:$F53, 2, 1)</f>
        <v>0.4220839274</v>
      </c>
      <c r="K13" s="9">
        <f>_xlfn.T.TEST( $F$99:$F$101,$F54:$F56, 2, 1)</f>
        <v>0.3830605638</v>
      </c>
      <c r="L13" s="9">
        <f>_xlfn.T.TEST( $F$99:$F$101,$F57:$F59, 2, 1)</f>
        <v>0.3830605638</v>
      </c>
      <c r="M13" s="9">
        <f>_xlfn.T.TEST( $F$99:$F$101,$F60:$F62, 2, 1)</f>
        <v>0.3830605638</v>
      </c>
      <c r="N13" s="9">
        <f>_xlfn.T.TEST( $F$99:$F$101,$F63:$F65, 2, 1)</f>
        <v>0.3830605638</v>
      </c>
      <c r="O13" s="9">
        <f>_xlfn.T.TEST( $F$99:$F$101,$F66:$F68, 2, 1)</f>
        <v>0.3830605638</v>
      </c>
      <c r="P13" s="9">
        <f>_xlfn.T.TEST( $F$99:$F$101,$F69:$F71, 2, 1)</f>
        <v>0.383139387</v>
      </c>
    </row>
    <row r="15">
      <c r="B15" s="3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>
      <c r="A16" s="6"/>
      <c r="B16" s="10" t="s">
        <v>1</v>
      </c>
      <c r="C16" s="10" t="s">
        <v>2</v>
      </c>
      <c r="D16" s="10" t="s">
        <v>3</v>
      </c>
      <c r="E16" s="10" t="s">
        <v>4</v>
      </c>
      <c r="F16" s="10" t="s">
        <v>5</v>
      </c>
      <c r="G16" s="10" t="s">
        <v>6</v>
      </c>
      <c r="H16" s="10" t="s">
        <v>7</v>
      </c>
      <c r="I16" s="10" t="s">
        <v>8</v>
      </c>
      <c r="J16" s="10" t="s">
        <v>9</v>
      </c>
      <c r="K16" s="10" t="s">
        <v>10</v>
      </c>
      <c r="L16" s="10" t="s">
        <v>11</v>
      </c>
      <c r="M16" s="10" t="s">
        <v>12</v>
      </c>
      <c r="N16" s="10" t="s">
        <v>13</v>
      </c>
      <c r="O16" s="10" t="s">
        <v>14</v>
      </c>
      <c r="P16" s="10" t="s">
        <v>15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B17" s="11" t="s">
        <v>16</v>
      </c>
      <c r="C17" s="12" t="str">
        <f t="shared" ref="C17:P17" si="1">IF(C4 &lt; 0.05, "Significant", "Not significant")</f>
        <v>Not significant</v>
      </c>
      <c r="D17" s="12" t="str">
        <f t="shared" si="1"/>
        <v>Not significant</v>
      </c>
      <c r="E17" s="12" t="str">
        <f t="shared" si="1"/>
        <v>Not significant</v>
      </c>
      <c r="F17" s="12" t="str">
        <f t="shared" si="1"/>
        <v>Not significant</v>
      </c>
      <c r="G17" s="12" t="str">
        <f t="shared" si="1"/>
        <v>Not significant</v>
      </c>
      <c r="H17" s="12" t="str">
        <f t="shared" si="1"/>
        <v>Not significant</v>
      </c>
      <c r="I17" s="12" t="str">
        <f t="shared" si="1"/>
        <v>Not significant</v>
      </c>
      <c r="J17" s="12" t="str">
        <f t="shared" si="1"/>
        <v>Not significant</v>
      </c>
      <c r="K17" s="12" t="str">
        <f t="shared" si="1"/>
        <v>Not significant</v>
      </c>
      <c r="L17" s="12" t="str">
        <f t="shared" si="1"/>
        <v>Not significant</v>
      </c>
      <c r="M17" s="12" t="str">
        <f t="shared" si="1"/>
        <v>Not significant</v>
      </c>
      <c r="N17" s="12" t="str">
        <f t="shared" si="1"/>
        <v>Not significant</v>
      </c>
      <c r="O17" s="12" t="str">
        <f t="shared" si="1"/>
        <v>Not significant</v>
      </c>
      <c r="P17" s="12" t="str">
        <f t="shared" si="1"/>
        <v>Not significant</v>
      </c>
    </row>
    <row r="18">
      <c r="B18" s="11" t="s">
        <v>17</v>
      </c>
      <c r="C18" s="13" t="str">
        <f t="shared" ref="C18:P18" si="2">IF(C5 &lt; 0.05, "Significant", "Not significant")</f>
        <v>Significant</v>
      </c>
      <c r="D18" s="13" t="str">
        <f t="shared" si="2"/>
        <v>Significant</v>
      </c>
      <c r="E18" s="13" t="str">
        <f t="shared" si="2"/>
        <v>Significant</v>
      </c>
      <c r="F18" s="13" t="str">
        <f t="shared" si="2"/>
        <v>Significant</v>
      </c>
      <c r="G18" s="13" t="str">
        <f t="shared" si="2"/>
        <v>Significant</v>
      </c>
      <c r="H18" s="13" t="str">
        <f t="shared" si="2"/>
        <v>Significant</v>
      </c>
      <c r="I18" s="13" t="str">
        <f t="shared" si="2"/>
        <v>Significant</v>
      </c>
      <c r="J18" s="13" t="str">
        <f t="shared" si="2"/>
        <v>Significant</v>
      </c>
      <c r="K18" s="13" t="str">
        <f t="shared" si="2"/>
        <v>Significant</v>
      </c>
      <c r="L18" s="13" t="str">
        <f t="shared" si="2"/>
        <v>Significant</v>
      </c>
      <c r="M18" s="13" t="str">
        <f t="shared" si="2"/>
        <v>Significant</v>
      </c>
      <c r="N18" s="13" t="str">
        <f t="shared" si="2"/>
        <v>Significant</v>
      </c>
      <c r="O18" s="13" t="str">
        <f t="shared" si="2"/>
        <v>Significant</v>
      </c>
      <c r="P18" s="13" t="str">
        <f t="shared" si="2"/>
        <v>Significant</v>
      </c>
    </row>
    <row r="19">
      <c r="B19" s="11" t="s">
        <v>18</v>
      </c>
      <c r="C19" s="13" t="str">
        <f t="shared" ref="C19:P19" si="3">IF(C6 &lt; 0.05, "Significant", "Not significant")</f>
        <v>Significant</v>
      </c>
      <c r="D19" s="13" t="str">
        <f t="shared" si="3"/>
        <v>Significant</v>
      </c>
      <c r="E19" s="13" t="str">
        <f t="shared" si="3"/>
        <v>Significant</v>
      </c>
      <c r="F19" s="13" t="str">
        <f t="shared" si="3"/>
        <v>Significant</v>
      </c>
      <c r="G19" s="13" t="str">
        <f t="shared" si="3"/>
        <v>Not significant</v>
      </c>
      <c r="H19" s="13" t="str">
        <f t="shared" si="3"/>
        <v>Significant</v>
      </c>
      <c r="I19" s="13" t="str">
        <f t="shared" si="3"/>
        <v>Significant</v>
      </c>
      <c r="J19" s="13" t="str">
        <f t="shared" si="3"/>
        <v>Significant</v>
      </c>
      <c r="K19" s="13" t="str">
        <f t="shared" si="3"/>
        <v>Significant</v>
      </c>
      <c r="L19" s="13" t="str">
        <f t="shared" si="3"/>
        <v>Significant</v>
      </c>
      <c r="M19" s="13" t="str">
        <f t="shared" si="3"/>
        <v>Significant</v>
      </c>
      <c r="N19" s="13" t="str">
        <f t="shared" si="3"/>
        <v>Significant</v>
      </c>
      <c r="O19" s="13" t="str">
        <f t="shared" si="3"/>
        <v>Significant</v>
      </c>
      <c r="P19" s="13" t="str">
        <f t="shared" si="3"/>
        <v>Significant</v>
      </c>
    </row>
    <row r="20">
      <c r="B20" s="11" t="s">
        <v>19</v>
      </c>
      <c r="C20" s="12" t="str">
        <f t="shared" ref="C20:P20" si="4">IF(C7 &lt; 0.05, "Significant", "Not significant")</f>
        <v>Not significant</v>
      </c>
      <c r="D20" s="12" t="str">
        <f t="shared" si="4"/>
        <v>Not significant</v>
      </c>
      <c r="E20" s="12" t="str">
        <f t="shared" si="4"/>
        <v>Not significant</v>
      </c>
      <c r="F20" s="12" t="str">
        <f t="shared" si="4"/>
        <v>Not significant</v>
      </c>
      <c r="G20" s="12" t="str">
        <f t="shared" si="4"/>
        <v>Not significant</v>
      </c>
      <c r="H20" s="12" t="str">
        <f t="shared" si="4"/>
        <v>Not significant</v>
      </c>
      <c r="I20" s="12" t="str">
        <f t="shared" si="4"/>
        <v>Not significant</v>
      </c>
      <c r="J20" s="12" t="str">
        <f t="shared" si="4"/>
        <v>Not significant</v>
      </c>
      <c r="K20" s="12" t="str">
        <f t="shared" si="4"/>
        <v>Not significant</v>
      </c>
      <c r="L20" s="12" t="str">
        <f t="shared" si="4"/>
        <v>Not significant</v>
      </c>
      <c r="M20" s="12" t="str">
        <f t="shared" si="4"/>
        <v>Not significant</v>
      </c>
      <c r="N20" s="12" t="str">
        <f t="shared" si="4"/>
        <v>Not significant</v>
      </c>
      <c r="O20" s="12" t="str">
        <f t="shared" si="4"/>
        <v>Not significant</v>
      </c>
      <c r="P20" s="12" t="str">
        <f t="shared" si="4"/>
        <v>Not significant</v>
      </c>
    </row>
    <row r="21">
      <c r="B21" s="11" t="s">
        <v>20</v>
      </c>
      <c r="C21" s="13" t="str">
        <f t="shared" ref="C21:P21" si="5">IF(C8 &lt; 0.05, "Significant", "Not significant")</f>
        <v>Significant</v>
      </c>
      <c r="D21" s="13" t="str">
        <f t="shared" si="5"/>
        <v>Significant</v>
      </c>
      <c r="E21" s="13" t="str">
        <f t="shared" si="5"/>
        <v>Significant</v>
      </c>
      <c r="F21" s="13" t="str">
        <f t="shared" si="5"/>
        <v>Significant</v>
      </c>
      <c r="G21" s="13" t="str">
        <f t="shared" si="5"/>
        <v>Not significant</v>
      </c>
      <c r="H21" s="13" t="str">
        <f t="shared" si="5"/>
        <v>Significant</v>
      </c>
      <c r="I21" s="13" t="str">
        <f t="shared" si="5"/>
        <v>Significant</v>
      </c>
      <c r="J21" s="13" t="str">
        <f t="shared" si="5"/>
        <v>Significant</v>
      </c>
      <c r="K21" s="13" t="str">
        <f t="shared" si="5"/>
        <v>Significant</v>
      </c>
      <c r="L21" s="13" t="str">
        <f t="shared" si="5"/>
        <v>Significant</v>
      </c>
      <c r="M21" s="13" t="str">
        <f t="shared" si="5"/>
        <v>Significant</v>
      </c>
      <c r="N21" s="13" t="str">
        <f t="shared" si="5"/>
        <v>Significant</v>
      </c>
      <c r="O21" s="13" t="str">
        <f t="shared" si="5"/>
        <v>Significant</v>
      </c>
      <c r="P21" s="13" t="str">
        <f t="shared" si="5"/>
        <v>Significant</v>
      </c>
    </row>
    <row r="22">
      <c r="B22" s="11" t="s">
        <v>21</v>
      </c>
      <c r="C22" s="12" t="str">
        <f t="shared" ref="C22:P22" si="6">IF(C9 &lt; 0.05, "Significant", "Not significant")</f>
        <v>Not significant</v>
      </c>
      <c r="D22" s="12" t="str">
        <f t="shared" si="6"/>
        <v>Not significant</v>
      </c>
      <c r="E22" s="12" t="str">
        <f t="shared" si="6"/>
        <v>Not significant</v>
      </c>
      <c r="F22" s="12" t="str">
        <f t="shared" si="6"/>
        <v>Not significant</v>
      </c>
      <c r="G22" s="12" t="str">
        <f t="shared" si="6"/>
        <v>Not significant</v>
      </c>
      <c r="H22" s="12" t="str">
        <f t="shared" si="6"/>
        <v>Not significant</v>
      </c>
      <c r="I22" s="12" t="str">
        <f t="shared" si="6"/>
        <v>Not significant</v>
      </c>
      <c r="J22" s="12" t="str">
        <f t="shared" si="6"/>
        <v>Not significant</v>
      </c>
      <c r="K22" s="12" t="str">
        <f t="shared" si="6"/>
        <v>Not significant</v>
      </c>
      <c r="L22" s="12" t="str">
        <f t="shared" si="6"/>
        <v>Not significant</v>
      </c>
      <c r="M22" s="12" t="str">
        <f t="shared" si="6"/>
        <v>Not significant</v>
      </c>
      <c r="N22" s="12" t="str">
        <f t="shared" si="6"/>
        <v>Not significant</v>
      </c>
      <c r="O22" s="12" t="str">
        <f t="shared" si="6"/>
        <v>Not significant</v>
      </c>
      <c r="P22" s="12" t="str">
        <f t="shared" si="6"/>
        <v>Not significant</v>
      </c>
    </row>
    <row r="23">
      <c r="B23" s="11" t="s">
        <v>22</v>
      </c>
      <c r="C23" s="12" t="str">
        <f t="shared" ref="C23:P23" si="7">IF(C10 &lt; 0.05, "Significant", "Not significant")</f>
        <v>Not significant</v>
      </c>
      <c r="D23" s="12" t="str">
        <f t="shared" si="7"/>
        <v>Not significant</v>
      </c>
      <c r="E23" s="12" t="str">
        <f t="shared" si="7"/>
        <v>Not significant</v>
      </c>
      <c r="F23" s="12" t="str">
        <f t="shared" si="7"/>
        <v>Not significant</v>
      </c>
      <c r="G23" s="12" t="str">
        <f t="shared" si="7"/>
        <v>Not significant</v>
      </c>
      <c r="H23" s="12" t="str">
        <f t="shared" si="7"/>
        <v>Not significant</v>
      </c>
      <c r="I23" s="12" t="str">
        <f t="shared" si="7"/>
        <v>Not significant</v>
      </c>
      <c r="J23" s="12" t="str">
        <f t="shared" si="7"/>
        <v>Not significant</v>
      </c>
      <c r="K23" s="12" t="str">
        <f t="shared" si="7"/>
        <v>Not significant</v>
      </c>
      <c r="L23" s="12" t="str">
        <f t="shared" si="7"/>
        <v>Not significant</v>
      </c>
      <c r="M23" s="12" t="str">
        <f t="shared" si="7"/>
        <v>Not significant</v>
      </c>
      <c r="N23" s="12" t="str">
        <f t="shared" si="7"/>
        <v>Not significant</v>
      </c>
      <c r="O23" s="12" t="str">
        <f t="shared" si="7"/>
        <v>Not significant</v>
      </c>
      <c r="P23" s="12" t="str">
        <f t="shared" si="7"/>
        <v>Not significant</v>
      </c>
    </row>
    <row r="24">
      <c r="B24" s="11" t="s">
        <v>23</v>
      </c>
      <c r="C24" s="12" t="str">
        <f t="shared" ref="C24:P24" si="8">IF(C11 &lt; 0.05, "Significant", "Not significant")</f>
        <v>Not significant</v>
      </c>
      <c r="D24" s="12" t="str">
        <f t="shared" si="8"/>
        <v>Not significant</v>
      </c>
      <c r="E24" s="12" t="str">
        <f t="shared" si="8"/>
        <v>Not significant</v>
      </c>
      <c r="F24" s="12" t="str">
        <f t="shared" si="8"/>
        <v>Not significant</v>
      </c>
      <c r="G24" s="12" t="str">
        <f t="shared" si="8"/>
        <v>Not significant</v>
      </c>
      <c r="H24" s="12" t="str">
        <f t="shared" si="8"/>
        <v>Not significant</v>
      </c>
      <c r="I24" s="12" t="str">
        <f t="shared" si="8"/>
        <v>Not significant</v>
      </c>
      <c r="J24" s="12" t="str">
        <f t="shared" si="8"/>
        <v>Not significant</v>
      </c>
      <c r="K24" s="12" t="str">
        <f t="shared" si="8"/>
        <v>Not significant</v>
      </c>
      <c r="L24" s="12" t="str">
        <f t="shared" si="8"/>
        <v>Not significant</v>
      </c>
      <c r="M24" s="12" t="str">
        <f t="shared" si="8"/>
        <v>Not significant</v>
      </c>
      <c r="N24" s="12" t="str">
        <f t="shared" si="8"/>
        <v>Not significant</v>
      </c>
      <c r="O24" s="12" t="str">
        <f t="shared" si="8"/>
        <v>Not significant</v>
      </c>
      <c r="P24" s="12" t="str">
        <f t="shared" si="8"/>
        <v>Not significant</v>
      </c>
    </row>
    <row r="25">
      <c r="B25" s="11" t="s">
        <v>24</v>
      </c>
      <c r="C25" s="13" t="str">
        <f t="shared" ref="C25:P25" si="9">IF(C12 &lt; 0.05, "Significant", "Not significant")</f>
        <v>Significant</v>
      </c>
      <c r="D25" s="13" t="str">
        <f t="shared" si="9"/>
        <v>Significant</v>
      </c>
      <c r="E25" s="13" t="str">
        <f t="shared" si="9"/>
        <v>Significant</v>
      </c>
      <c r="F25" s="13" t="str">
        <f t="shared" si="9"/>
        <v>Significant</v>
      </c>
      <c r="G25" s="13" t="str">
        <f t="shared" si="9"/>
        <v>Significant</v>
      </c>
      <c r="H25" s="13" t="str">
        <f t="shared" si="9"/>
        <v>Significant</v>
      </c>
      <c r="I25" s="13" t="str">
        <f t="shared" si="9"/>
        <v>Significant</v>
      </c>
      <c r="J25" s="13" t="str">
        <f t="shared" si="9"/>
        <v>Significant</v>
      </c>
      <c r="K25" s="13" t="str">
        <f t="shared" si="9"/>
        <v>Significant</v>
      </c>
      <c r="L25" s="13" t="str">
        <f t="shared" si="9"/>
        <v>Significant</v>
      </c>
      <c r="M25" s="13" t="str">
        <f t="shared" si="9"/>
        <v>Significant</v>
      </c>
      <c r="N25" s="13" t="str">
        <f t="shared" si="9"/>
        <v>Significant</v>
      </c>
      <c r="O25" s="13" t="str">
        <f t="shared" si="9"/>
        <v>Significant</v>
      </c>
      <c r="P25" s="13" t="str">
        <f t="shared" si="9"/>
        <v>Significant</v>
      </c>
    </row>
    <row r="26">
      <c r="B26" s="11" t="s">
        <v>25</v>
      </c>
      <c r="C26" s="12" t="str">
        <f t="shared" ref="C26:P26" si="10">IF(C13 &lt; 0.05, "Significant", "Not significant")</f>
        <v>Not significant</v>
      </c>
      <c r="D26" s="12" t="str">
        <f t="shared" si="10"/>
        <v>Not significant</v>
      </c>
      <c r="E26" s="12" t="str">
        <f t="shared" si="10"/>
        <v>Not significant</v>
      </c>
      <c r="F26" s="12" t="str">
        <f t="shared" si="10"/>
        <v>Not significant</v>
      </c>
      <c r="G26" s="12" t="str">
        <f t="shared" si="10"/>
        <v>Not significant</v>
      </c>
      <c r="H26" s="12" t="str">
        <f t="shared" si="10"/>
        <v>Not significant</v>
      </c>
      <c r="I26" s="12" t="str">
        <f t="shared" si="10"/>
        <v>Not significant</v>
      </c>
      <c r="J26" s="12" t="str">
        <f t="shared" si="10"/>
        <v>Not significant</v>
      </c>
      <c r="K26" s="12" t="str">
        <f t="shared" si="10"/>
        <v>Not significant</v>
      </c>
      <c r="L26" s="12" t="str">
        <f t="shared" si="10"/>
        <v>Not significant</v>
      </c>
      <c r="M26" s="12" t="str">
        <f t="shared" si="10"/>
        <v>Not significant</v>
      </c>
      <c r="N26" s="12" t="str">
        <f t="shared" si="10"/>
        <v>Not significant</v>
      </c>
      <c r="O26" s="12" t="str">
        <f t="shared" si="10"/>
        <v>Not significant</v>
      </c>
      <c r="P26" s="12" t="str">
        <f t="shared" si="10"/>
        <v>Not significant</v>
      </c>
    </row>
    <row r="29" ht="22.5" customHeight="1">
      <c r="B29" s="14" t="s">
        <v>27</v>
      </c>
      <c r="C29" s="14" t="s">
        <v>28</v>
      </c>
      <c r="D29" s="14" t="s">
        <v>29</v>
      </c>
      <c r="E29" s="14" t="s">
        <v>30</v>
      </c>
      <c r="F29" s="14" t="s">
        <v>31</v>
      </c>
      <c r="G29" s="15"/>
    </row>
    <row r="30" ht="22.5" customHeight="1">
      <c r="B30" s="16" t="s">
        <v>32</v>
      </c>
      <c r="C30" s="17">
        <v>1.0</v>
      </c>
      <c r="D30" s="17" t="s">
        <v>33</v>
      </c>
      <c r="E30" s="16">
        <v>0.0</v>
      </c>
      <c r="F30" s="18">
        <f t="shared" ref="F30:F71" si="11">G30/100</f>
        <v>0.9276148934</v>
      </c>
      <c r="G30" s="19">
        <v>92.761489344</v>
      </c>
    </row>
    <row r="31" ht="22.5" customHeight="1">
      <c r="B31" s="16" t="s">
        <v>32</v>
      </c>
      <c r="C31" s="17">
        <v>1.0</v>
      </c>
      <c r="D31" s="20" t="s">
        <v>33</v>
      </c>
      <c r="E31" s="16">
        <v>1.0</v>
      </c>
      <c r="F31" s="18">
        <f t="shared" si="11"/>
        <v>0.9259762215</v>
      </c>
      <c r="G31" s="19">
        <v>92.5976221489344</v>
      </c>
    </row>
    <row r="32" ht="22.5" customHeight="1">
      <c r="B32" s="16" t="s">
        <v>32</v>
      </c>
      <c r="C32" s="17">
        <v>1.0</v>
      </c>
      <c r="D32" s="20" t="s">
        <v>33</v>
      </c>
      <c r="E32" s="16">
        <v>2.0</v>
      </c>
      <c r="F32" s="18">
        <f t="shared" si="11"/>
        <v>0.9262329166</v>
      </c>
      <c r="G32" s="19">
        <v>92.6232916585812</v>
      </c>
    </row>
    <row r="33" ht="22.5" customHeight="1">
      <c r="B33" s="16" t="s">
        <v>34</v>
      </c>
      <c r="C33" s="17">
        <v>1.0</v>
      </c>
      <c r="D33" s="20" t="s">
        <v>33</v>
      </c>
      <c r="E33" s="16">
        <v>0.0</v>
      </c>
      <c r="F33" s="18">
        <f t="shared" si="11"/>
        <v>0.9263099529</v>
      </c>
      <c r="G33" s="19">
        <v>92.630995286942</v>
      </c>
    </row>
    <row r="34" ht="22.5" customHeight="1">
      <c r="B34" s="16" t="s">
        <v>34</v>
      </c>
      <c r="C34" s="17">
        <v>1.0</v>
      </c>
      <c r="D34" s="20" t="s">
        <v>33</v>
      </c>
      <c r="E34" s="16">
        <v>1.0</v>
      </c>
      <c r="F34" s="18">
        <f t="shared" si="11"/>
        <v>0.9262329166</v>
      </c>
      <c r="G34" s="19">
        <v>92.6232916585812</v>
      </c>
    </row>
    <row r="35" ht="22.5" customHeight="1">
      <c r="B35" s="16" t="s">
        <v>34</v>
      </c>
      <c r="C35" s="17">
        <v>1.0</v>
      </c>
      <c r="D35" s="20" t="s">
        <v>33</v>
      </c>
      <c r="E35" s="16">
        <v>2.0</v>
      </c>
      <c r="F35" s="18">
        <f t="shared" si="11"/>
        <v>0.9265411386</v>
      </c>
      <c r="G35" s="19">
        <v>92.6541138626216</v>
      </c>
    </row>
    <row r="36" ht="22.5" customHeight="1">
      <c r="B36" s="21" t="s">
        <v>32</v>
      </c>
      <c r="C36" s="22">
        <v>5.0</v>
      </c>
      <c r="D36" s="21" t="s">
        <v>35</v>
      </c>
      <c r="E36" s="22">
        <v>0.0</v>
      </c>
      <c r="F36" s="18">
        <f t="shared" si="11"/>
        <v>0.9106703819</v>
      </c>
      <c r="G36" s="23">
        <v>91.0670381904605</v>
      </c>
    </row>
    <row r="37" ht="22.5" customHeight="1">
      <c r="B37" s="21" t="s">
        <v>32</v>
      </c>
      <c r="C37" s="22">
        <v>5.0</v>
      </c>
      <c r="D37" s="21" t="s">
        <v>35</v>
      </c>
      <c r="E37" s="22">
        <v>1.0</v>
      </c>
      <c r="F37" s="18">
        <f t="shared" si="11"/>
        <v>0.9166209545</v>
      </c>
      <c r="G37" s="23">
        <v>91.6620954470652</v>
      </c>
    </row>
    <row r="38" ht="22.5" customHeight="1">
      <c r="B38" s="21" t="s">
        <v>32</v>
      </c>
      <c r="C38" s="22">
        <v>5.0</v>
      </c>
      <c r="D38" s="21" t="s">
        <v>35</v>
      </c>
      <c r="E38" s="22">
        <v>2.0</v>
      </c>
      <c r="F38" s="18">
        <f t="shared" si="11"/>
        <v>0.9137200208</v>
      </c>
      <c r="G38" s="23">
        <v>91.3720020783767</v>
      </c>
    </row>
    <row r="39" ht="22.5" customHeight="1">
      <c r="B39" s="21" t="s">
        <v>34</v>
      </c>
      <c r="C39" s="22">
        <v>5.0</v>
      </c>
      <c r="D39" s="21" t="s">
        <v>35</v>
      </c>
      <c r="E39" s="22">
        <v>0.0</v>
      </c>
      <c r="F39" s="18">
        <f t="shared" si="11"/>
        <v>0.9086160459</v>
      </c>
      <c r="G39" s="23">
        <v>90.8616045923225</v>
      </c>
    </row>
    <row r="40" ht="22.5" customHeight="1">
      <c r="B40" s="21" t="s">
        <v>34</v>
      </c>
      <c r="C40" s="22">
        <v>5.0</v>
      </c>
      <c r="D40" s="21" t="s">
        <v>35</v>
      </c>
      <c r="E40" s="22">
        <v>1.0</v>
      </c>
      <c r="F40" s="18">
        <f t="shared" si="11"/>
        <v>0.9103591085</v>
      </c>
      <c r="G40" s="23">
        <v>91.035910849545</v>
      </c>
    </row>
    <row r="41" ht="22.5" customHeight="1">
      <c r="B41" s="21" t="s">
        <v>34</v>
      </c>
      <c r="C41" s="22">
        <v>5.0</v>
      </c>
      <c r="D41" s="21" t="s">
        <v>35</v>
      </c>
      <c r="E41" s="22">
        <v>2.0</v>
      </c>
      <c r="F41" s="18">
        <f t="shared" si="11"/>
        <v>0.910374225</v>
      </c>
      <c r="G41" s="23">
        <v>91.0374224977856</v>
      </c>
    </row>
    <row r="42" ht="22.5" customHeight="1">
      <c r="B42" s="21" t="s">
        <v>32</v>
      </c>
      <c r="C42" s="22">
        <v>5.0</v>
      </c>
      <c r="D42" s="21" t="s">
        <v>36</v>
      </c>
      <c r="E42" s="22">
        <v>0.0</v>
      </c>
      <c r="F42" s="18">
        <f t="shared" si="11"/>
        <v>0.9246948773</v>
      </c>
      <c r="G42" s="23">
        <v>92.4694877259015</v>
      </c>
    </row>
    <row r="43" ht="22.5" customHeight="1">
      <c r="B43" s="21" t="s">
        <v>32</v>
      </c>
      <c r="C43" s="22">
        <v>5.0</v>
      </c>
      <c r="D43" s="21" t="s">
        <v>36</v>
      </c>
      <c r="E43" s="22">
        <v>1.0</v>
      </c>
      <c r="F43" s="18">
        <f t="shared" si="11"/>
        <v>0.9212528951</v>
      </c>
      <c r="G43" s="23">
        <v>92.125289511415</v>
      </c>
    </row>
    <row r="44" ht="22.5" customHeight="1">
      <c r="B44" s="21" t="s">
        <v>32</v>
      </c>
      <c r="C44" s="22">
        <v>5.0</v>
      </c>
      <c r="D44" s="21" t="s">
        <v>36</v>
      </c>
      <c r="E44" s="22">
        <v>2.0</v>
      </c>
      <c r="F44" s="18">
        <f t="shared" si="11"/>
        <v>0.9115263948</v>
      </c>
      <c r="G44" s="23">
        <v>91.1526394761969</v>
      </c>
    </row>
    <row r="45" ht="22.5" customHeight="1">
      <c r="B45" s="21" t="s">
        <v>34</v>
      </c>
      <c r="C45" s="22">
        <v>5.0</v>
      </c>
      <c r="D45" s="21" t="s">
        <v>36</v>
      </c>
      <c r="E45" s="22">
        <v>0.0</v>
      </c>
      <c r="F45" s="18">
        <f t="shared" si="11"/>
        <v>0.9255914455</v>
      </c>
      <c r="G45" s="23">
        <v>92.5591445509446</v>
      </c>
    </row>
    <row r="46" ht="22.5" customHeight="1">
      <c r="B46" s="21" t="s">
        <v>34</v>
      </c>
      <c r="C46" s="22">
        <v>5.0</v>
      </c>
      <c r="D46" s="21" t="s">
        <v>36</v>
      </c>
      <c r="E46" s="22">
        <v>1.0</v>
      </c>
      <c r="F46" s="18">
        <f t="shared" si="11"/>
        <v>0.9256940212</v>
      </c>
      <c r="G46" s="23">
        <v>92.5694021166953</v>
      </c>
    </row>
    <row r="47" ht="22.5" customHeight="1">
      <c r="B47" s="21" t="s">
        <v>34</v>
      </c>
      <c r="C47" s="22">
        <v>5.0</v>
      </c>
      <c r="D47" s="21" t="s">
        <v>36</v>
      </c>
      <c r="E47" s="22">
        <v>2.0</v>
      </c>
      <c r="F47" s="18">
        <f t="shared" si="11"/>
        <v>0.9242855957</v>
      </c>
      <c r="G47" s="23">
        <v>92.4285595728789</v>
      </c>
    </row>
    <row r="48" ht="22.5" customHeight="1">
      <c r="B48" s="21" t="s">
        <v>32</v>
      </c>
      <c r="C48" s="22">
        <v>10.0</v>
      </c>
      <c r="D48" s="21" t="s">
        <v>35</v>
      </c>
      <c r="E48" s="22">
        <v>0.0</v>
      </c>
      <c r="F48" s="18">
        <f t="shared" si="11"/>
        <v>0.9263099529</v>
      </c>
      <c r="G48" s="23">
        <v>92.630995286942</v>
      </c>
    </row>
    <row r="49" ht="22.5" customHeight="1">
      <c r="B49" s="21" t="s">
        <v>32</v>
      </c>
      <c r="C49" s="22">
        <v>10.0</v>
      </c>
      <c r="D49" s="21" t="s">
        <v>35</v>
      </c>
      <c r="E49" s="22">
        <v>1.0</v>
      </c>
      <c r="F49" s="18">
        <f t="shared" si="11"/>
        <v>0.9202633101</v>
      </c>
      <c r="G49" s="23">
        <v>92.0263310105489</v>
      </c>
    </row>
    <row r="50" ht="22.5" customHeight="1">
      <c r="B50" s="21" t="s">
        <v>32</v>
      </c>
      <c r="C50" s="22">
        <v>10.0</v>
      </c>
      <c r="D50" s="21" t="s">
        <v>35</v>
      </c>
      <c r="E50" s="22">
        <v>2.0</v>
      </c>
      <c r="F50" s="18">
        <f t="shared" si="11"/>
        <v>0.9216594946</v>
      </c>
      <c r="G50" s="23">
        <v>92.1659494648571</v>
      </c>
    </row>
    <row r="51" ht="22.5" customHeight="1">
      <c r="B51" s="21" t="s">
        <v>34</v>
      </c>
      <c r="C51" s="22">
        <v>10.0</v>
      </c>
      <c r="D51" s="21" t="s">
        <v>35</v>
      </c>
      <c r="E51" s="22">
        <v>0.0</v>
      </c>
      <c r="F51" s="18">
        <f t="shared" si="11"/>
        <v>0.9262072407</v>
      </c>
      <c r="G51" s="23">
        <v>92.6207240671952</v>
      </c>
    </row>
    <row r="52" ht="22.5" customHeight="1">
      <c r="B52" s="21" t="s">
        <v>34</v>
      </c>
      <c r="C52" s="22">
        <v>10.0</v>
      </c>
      <c r="D52" s="21" t="s">
        <v>35</v>
      </c>
      <c r="E52" s="22">
        <v>1.0</v>
      </c>
      <c r="F52" s="18">
        <f t="shared" si="11"/>
        <v>0.9202379641</v>
      </c>
      <c r="G52" s="23">
        <v>92.023796408505</v>
      </c>
    </row>
    <row r="53" ht="22.5" customHeight="1">
      <c r="B53" s="21" t="s">
        <v>34</v>
      </c>
      <c r="C53" s="22">
        <v>10.0</v>
      </c>
      <c r="D53" s="21" t="s">
        <v>35</v>
      </c>
      <c r="E53" s="22">
        <v>2.0</v>
      </c>
      <c r="F53" s="18">
        <f t="shared" si="11"/>
        <v>0.9200859173</v>
      </c>
      <c r="G53" s="23">
        <v>92.0085917277083</v>
      </c>
    </row>
    <row r="54" ht="22.5" customHeight="1">
      <c r="B54" s="21" t="s">
        <v>32</v>
      </c>
      <c r="C54" s="22">
        <v>10.0</v>
      </c>
      <c r="D54" s="21" t="s">
        <v>36</v>
      </c>
      <c r="E54" s="22">
        <v>0.0</v>
      </c>
      <c r="F54" s="18">
        <f t="shared" si="11"/>
        <v>0.9263099529</v>
      </c>
      <c r="G54" s="23">
        <v>92.630995286942</v>
      </c>
    </row>
    <row r="55" ht="22.5" customHeight="1">
      <c r="B55" s="21" t="s">
        <v>32</v>
      </c>
      <c r="C55" s="22">
        <v>10.0</v>
      </c>
      <c r="D55" s="21" t="s">
        <v>36</v>
      </c>
      <c r="E55" s="22">
        <v>1.0</v>
      </c>
      <c r="F55" s="18">
        <f t="shared" si="11"/>
        <v>0.9261558931</v>
      </c>
      <c r="G55" s="23">
        <v>92.6155893114536</v>
      </c>
    </row>
    <row r="56" ht="22.5" customHeight="1">
      <c r="B56" s="21" t="s">
        <v>32</v>
      </c>
      <c r="C56" s="22">
        <v>10.0</v>
      </c>
      <c r="D56" s="21" t="s">
        <v>36</v>
      </c>
      <c r="E56" s="22">
        <v>2.0</v>
      </c>
      <c r="F56" s="18">
        <f t="shared" si="11"/>
        <v>0.9265411386</v>
      </c>
      <c r="G56" s="23">
        <v>92.6541138626216</v>
      </c>
    </row>
    <row r="57" ht="22.5" customHeight="1">
      <c r="B57" s="21" t="s">
        <v>34</v>
      </c>
      <c r="C57" s="22">
        <v>10.0</v>
      </c>
      <c r="D57" s="21" t="s">
        <v>36</v>
      </c>
      <c r="E57" s="22">
        <v>0.0</v>
      </c>
      <c r="F57" s="18">
        <f t="shared" si="11"/>
        <v>0.9263099529</v>
      </c>
      <c r="G57" s="23">
        <v>92.630995286942</v>
      </c>
    </row>
    <row r="58" ht="22.5" customHeight="1">
      <c r="B58" s="21" t="s">
        <v>34</v>
      </c>
      <c r="C58" s="22">
        <v>10.0</v>
      </c>
      <c r="D58" s="21" t="s">
        <v>36</v>
      </c>
      <c r="E58" s="22">
        <v>1.0</v>
      </c>
      <c r="F58" s="18">
        <f t="shared" si="11"/>
        <v>0.9261558931</v>
      </c>
      <c r="G58" s="23">
        <v>92.6155893114536</v>
      </c>
    </row>
    <row r="59" ht="22.5" customHeight="1">
      <c r="B59" s="21" t="s">
        <v>34</v>
      </c>
      <c r="C59" s="22">
        <v>10.0</v>
      </c>
      <c r="D59" s="21" t="s">
        <v>36</v>
      </c>
      <c r="E59" s="22">
        <v>2.0</v>
      </c>
      <c r="F59" s="18">
        <f t="shared" si="11"/>
        <v>0.9265411386</v>
      </c>
      <c r="G59" s="23">
        <v>92.6541138626216</v>
      </c>
    </row>
    <row r="60" ht="22.5" customHeight="1">
      <c r="B60" s="21" t="s">
        <v>32</v>
      </c>
      <c r="C60" s="22">
        <v>50.0</v>
      </c>
      <c r="D60" s="21" t="s">
        <v>35</v>
      </c>
      <c r="E60" s="22">
        <v>0.0</v>
      </c>
      <c r="F60" s="18">
        <f t="shared" si="11"/>
        <v>0.9263099529</v>
      </c>
      <c r="G60" s="23">
        <v>92.630995286942</v>
      </c>
    </row>
    <row r="61" ht="22.5" customHeight="1">
      <c r="B61" s="21" t="s">
        <v>32</v>
      </c>
      <c r="C61" s="22">
        <v>50.0</v>
      </c>
      <c r="D61" s="21" t="s">
        <v>35</v>
      </c>
      <c r="E61" s="22">
        <v>1.0</v>
      </c>
      <c r="F61" s="18">
        <f t="shared" si="11"/>
        <v>0.9261558931</v>
      </c>
      <c r="G61" s="23">
        <v>92.6155893114536</v>
      </c>
    </row>
    <row r="62" ht="22.5" customHeight="1">
      <c r="B62" s="21" t="s">
        <v>32</v>
      </c>
      <c r="C62" s="22">
        <v>50.0</v>
      </c>
      <c r="D62" s="21" t="s">
        <v>35</v>
      </c>
      <c r="E62" s="22">
        <v>2.0</v>
      </c>
      <c r="F62" s="18">
        <f t="shared" si="11"/>
        <v>0.9265411386</v>
      </c>
      <c r="G62" s="23">
        <v>92.6541138626216</v>
      </c>
    </row>
    <row r="63" ht="22.5" customHeight="1">
      <c r="B63" s="21" t="s">
        <v>34</v>
      </c>
      <c r="C63" s="22">
        <v>50.0</v>
      </c>
      <c r="D63" s="21" t="s">
        <v>35</v>
      </c>
      <c r="E63" s="22">
        <v>0.0</v>
      </c>
      <c r="F63" s="18">
        <f t="shared" si="11"/>
        <v>0.9263099529</v>
      </c>
      <c r="G63" s="23">
        <v>92.630995286942</v>
      </c>
    </row>
    <row r="64" ht="22.5" customHeight="1">
      <c r="B64" s="21" t="s">
        <v>34</v>
      </c>
      <c r="C64" s="22">
        <v>50.0</v>
      </c>
      <c r="D64" s="21" t="s">
        <v>35</v>
      </c>
      <c r="E64" s="22">
        <v>1.0</v>
      </c>
      <c r="F64" s="18">
        <f t="shared" si="11"/>
        <v>0.9261558931</v>
      </c>
      <c r="G64" s="23">
        <v>92.6155893114536</v>
      </c>
    </row>
    <row r="65" ht="22.5" customHeight="1">
      <c r="B65" s="21" t="s">
        <v>34</v>
      </c>
      <c r="C65" s="22">
        <v>50.0</v>
      </c>
      <c r="D65" s="21" t="s">
        <v>35</v>
      </c>
      <c r="E65" s="22">
        <v>2.0</v>
      </c>
      <c r="F65" s="18">
        <f t="shared" si="11"/>
        <v>0.9265411386</v>
      </c>
      <c r="G65" s="23">
        <v>92.6541138626216</v>
      </c>
    </row>
    <row r="66" ht="22.5" customHeight="1">
      <c r="B66" s="21" t="s">
        <v>32</v>
      </c>
      <c r="C66" s="22">
        <v>50.0</v>
      </c>
      <c r="D66" s="21" t="s">
        <v>36</v>
      </c>
      <c r="E66" s="22">
        <v>0.0</v>
      </c>
      <c r="F66" s="18">
        <f t="shared" si="11"/>
        <v>0.9263099529</v>
      </c>
      <c r="G66" s="23">
        <v>92.630995286942</v>
      </c>
    </row>
    <row r="67" ht="22.5" customHeight="1">
      <c r="B67" s="21" t="s">
        <v>32</v>
      </c>
      <c r="C67" s="22">
        <v>50.0</v>
      </c>
      <c r="D67" s="21" t="s">
        <v>36</v>
      </c>
      <c r="E67" s="22">
        <v>1.0</v>
      </c>
      <c r="F67" s="18">
        <f t="shared" si="11"/>
        <v>0.9261558931</v>
      </c>
      <c r="G67" s="23">
        <v>92.6155893114536</v>
      </c>
    </row>
    <row r="68" ht="22.5" customHeight="1">
      <c r="B68" s="21" t="s">
        <v>32</v>
      </c>
      <c r="C68" s="22">
        <v>50.0</v>
      </c>
      <c r="D68" s="21" t="s">
        <v>36</v>
      </c>
      <c r="E68" s="22">
        <v>2.0</v>
      </c>
      <c r="F68" s="18">
        <f t="shared" si="11"/>
        <v>0.9265411386</v>
      </c>
      <c r="G68" s="23">
        <v>92.6541138626216</v>
      </c>
    </row>
    <row r="69" ht="22.5" customHeight="1">
      <c r="B69" s="21" t="s">
        <v>34</v>
      </c>
      <c r="C69" s="22">
        <v>50.0</v>
      </c>
      <c r="D69" s="21" t="s">
        <v>36</v>
      </c>
      <c r="E69" s="22">
        <v>0.0</v>
      </c>
      <c r="F69" s="18">
        <f t="shared" si="11"/>
        <v>0.9262329166</v>
      </c>
      <c r="G69" s="23">
        <v>92.6232916585812</v>
      </c>
    </row>
    <row r="70" ht="22.5" customHeight="1">
      <c r="B70" s="21" t="s">
        <v>34</v>
      </c>
      <c r="C70" s="22">
        <v>50.0</v>
      </c>
      <c r="D70" s="21" t="s">
        <v>36</v>
      </c>
      <c r="E70" s="22">
        <v>1.0</v>
      </c>
      <c r="F70" s="18">
        <f t="shared" si="11"/>
        <v>0.9261558931</v>
      </c>
      <c r="G70" s="23">
        <v>92.6155893114536</v>
      </c>
    </row>
    <row r="71" ht="22.5" customHeight="1">
      <c r="B71" s="21" t="s">
        <v>34</v>
      </c>
      <c r="C71" s="22">
        <v>50.0</v>
      </c>
      <c r="D71" s="21" t="s">
        <v>36</v>
      </c>
      <c r="E71" s="22">
        <v>2.0</v>
      </c>
      <c r="F71" s="18">
        <f t="shared" si="11"/>
        <v>0.9265411386</v>
      </c>
      <c r="G71" s="23">
        <v>92.6541138626216</v>
      </c>
    </row>
    <row r="72" ht="22.5" customHeight="1">
      <c r="B72" s="24" t="s">
        <v>16</v>
      </c>
      <c r="C72" s="17" t="s">
        <v>33</v>
      </c>
      <c r="D72" s="17" t="s">
        <v>33</v>
      </c>
      <c r="E72" s="16">
        <v>0.0</v>
      </c>
      <c r="F72" s="16">
        <v>0.527437168</v>
      </c>
    </row>
    <row r="73" ht="22.5" customHeight="1">
      <c r="B73" s="24" t="s">
        <v>16</v>
      </c>
      <c r="C73" s="17" t="s">
        <v>33</v>
      </c>
      <c r="D73" s="17" t="s">
        <v>33</v>
      </c>
      <c r="E73" s="16">
        <v>1.0</v>
      </c>
      <c r="F73" s="16">
        <v>0.528408843</v>
      </c>
    </row>
    <row r="74" ht="22.5" customHeight="1">
      <c r="B74" s="24" t="s">
        <v>16</v>
      </c>
      <c r="C74" s="17" t="s">
        <v>33</v>
      </c>
      <c r="D74" s="17" t="s">
        <v>33</v>
      </c>
      <c r="E74" s="16">
        <v>2.0</v>
      </c>
      <c r="F74" s="16">
        <v>0.789318979</v>
      </c>
    </row>
    <row r="75" ht="22.5" customHeight="1">
      <c r="B75" s="24" t="s">
        <v>17</v>
      </c>
      <c r="C75" s="17" t="s">
        <v>33</v>
      </c>
      <c r="D75" s="17" t="s">
        <v>33</v>
      </c>
      <c r="E75" s="16">
        <v>0.0</v>
      </c>
      <c r="F75" s="16">
        <v>0.590488058</v>
      </c>
    </row>
    <row r="76" ht="22.5" customHeight="1">
      <c r="B76" s="24" t="s">
        <v>17</v>
      </c>
      <c r="C76" s="17" t="s">
        <v>33</v>
      </c>
      <c r="D76" s="17" t="s">
        <v>33</v>
      </c>
      <c r="E76" s="16">
        <v>1.0</v>
      </c>
      <c r="F76" s="16">
        <v>0.537813667</v>
      </c>
    </row>
    <row r="77" ht="22.5" customHeight="1">
      <c r="B77" s="24" t="s">
        <v>17</v>
      </c>
      <c r="C77" s="17" t="s">
        <v>33</v>
      </c>
      <c r="D77" s="17" t="s">
        <v>33</v>
      </c>
      <c r="E77" s="16">
        <v>2.0</v>
      </c>
      <c r="F77" s="16">
        <v>0.574390963</v>
      </c>
    </row>
    <row r="78" ht="22.5" customHeight="1">
      <c r="B78" s="24" t="s">
        <v>18</v>
      </c>
      <c r="C78" s="17" t="s">
        <v>33</v>
      </c>
      <c r="D78" s="17" t="s">
        <v>33</v>
      </c>
      <c r="E78" s="16">
        <v>0.0</v>
      </c>
      <c r="F78" s="16">
        <v>0.950202429</v>
      </c>
    </row>
    <row r="79" ht="22.5" customHeight="1">
      <c r="B79" s="24" t="s">
        <v>18</v>
      </c>
      <c r="C79" s="17" t="s">
        <v>33</v>
      </c>
      <c r="D79" s="17" t="s">
        <v>33</v>
      </c>
      <c r="E79" s="16">
        <v>1.0</v>
      </c>
      <c r="F79" s="16">
        <v>0.942301562</v>
      </c>
    </row>
    <row r="80" ht="22.5" customHeight="1">
      <c r="B80" s="24" t="s">
        <v>18</v>
      </c>
      <c r="C80" s="17" t="s">
        <v>33</v>
      </c>
      <c r="D80" s="17" t="s">
        <v>33</v>
      </c>
      <c r="E80" s="16">
        <v>2.0</v>
      </c>
      <c r="F80" s="16">
        <v>0.956299396</v>
      </c>
    </row>
    <row r="81" ht="22.5" customHeight="1">
      <c r="B81" s="24" t="s">
        <v>19</v>
      </c>
      <c r="C81" s="17" t="s">
        <v>33</v>
      </c>
      <c r="D81" s="17" t="s">
        <v>33</v>
      </c>
      <c r="E81" s="16">
        <v>0.0</v>
      </c>
      <c r="F81" s="16">
        <v>0.733444754</v>
      </c>
    </row>
    <row r="82" ht="22.5" customHeight="1">
      <c r="B82" s="24" t="s">
        <v>19</v>
      </c>
      <c r="C82" s="17" t="s">
        <v>33</v>
      </c>
      <c r="D82" s="17" t="s">
        <v>33</v>
      </c>
      <c r="E82" s="16">
        <v>1.0</v>
      </c>
      <c r="F82" s="16">
        <v>0.696129182</v>
      </c>
    </row>
    <row r="83" ht="22.5" customHeight="1">
      <c r="B83" s="24" t="s">
        <v>19</v>
      </c>
      <c r="C83" s="17" t="s">
        <v>33</v>
      </c>
      <c r="D83" s="17" t="s">
        <v>33</v>
      </c>
      <c r="E83" s="16">
        <v>2.0</v>
      </c>
      <c r="F83" s="16">
        <v>0.921936821</v>
      </c>
    </row>
    <row r="84" ht="22.5" customHeight="1">
      <c r="B84" s="24" t="s">
        <v>20</v>
      </c>
      <c r="C84" s="17" t="s">
        <v>33</v>
      </c>
      <c r="D84" s="17" t="s">
        <v>33</v>
      </c>
      <c r="E84" s="16">
        <v>0.0</v>
      </c>
      <c r="F84" s="16">
        <v>0.952059536</v>
      </c>
    </row>
    <row r="85" ht="22.5" customHeight="1">
      <c r="B85" s="24" t="s">
        <v>20</v>
      </c>
      <c r="C85" s="17" t="s">
        <v>33</v>
      </c>
      <c r="D85" s="17" t="s">
        <v>33</v>
      </c>
      <c r="E85" s="16">
        <v>1.0</v>
      </c>
      <c r="F85" s="16">
        <v>0.944340032</v>
      </c>
    </row>
    <row r="86" ht="22.5" customHeight="1">
      <c r="B86" s="24" t="s">
        <v>20</v>
      </c>
      <c r="C86" s="17" t="s">
        <v>33</v>
      </c>
      <c r="D86" s="17" t="s">
        <v>33</v>
      </c>
      <c r="E86" s="16">
        <v>2.0</v>
      </c>
      <c r="F86" s="16">
        <v>0.961317765</v>
      </c>
    </row>
    <row r="87" ht="22.5" customHeight="1">
      <c r="B87" s="24" t="s">
        <v>21</v>
      </c>
      <c r="C87" s="17" t="s">
        <v>33</v>
      </c>
      <c r="D87" s="17" t="s">
        <v>33</v>
      </c>
      <c r="E87" s="16">
        <v>0.0</v>
      </c>
      <c r="F87" s="16">
        <v>0.847451167</v>
      </c>
    </row>
    <row r="88" ht="22.5" customHeight="1">
      <c r="B88" s="24" t="s">
        <v>21</v>
      </c>
      <c r="C88" s="17" t="s">
        <v>33</v>
      </c>
      <c r="D88" s="17" t="s">
        <v>33</v>
      </c>
      <c r="E88" s="16">
        <v>1.0</v>
      </c>
      <c r="F88" s="16">
        <v>0.753557841</v>
      </c>
    </row>
    <row r="89" ht="22.5" customHeight="1">
      <c r="B89" s="24" t="s">
        <v>21</v>
      </c>
      <c r="C89" s="17" t="s">
        <v>33</v>
      </c>
      <c r="D89" s="17" t="s">
        <v>33</v>
      </c>
      <c r="E89" s="16">
        <v>2.0</v>
      </c>
      <c r="F89" s="16">
        <v>0.953664898</v>
      </c>
    </row>
    <row r="90" ht="22.5" customHeight="1">
      <c r="B90" s="24" t="s">
        <v>22</v>
      </c>
      <c r="C90" s="17" t="s">
        <v>33</v>
      </c>
      <c r="D90" s="17" t="s">
        <v>33</v>
      </c>
      <c r="E90" s="16">
        <v>0.0</v>
      </c>
      <c r="F90" s="16">
        <v>0.860745462</v>
      </c>
    </row>
    <row r="91" ht="22.5" customHeight="1">
      <c r="B91" s="24" t="s">
        <v>22</v>
      </c>
      <c r="C91" s="17" t="s">
        <v>33</v>
      </c>
      <c r="D91" s="17" t="s">
        <v>33</v>
      </c>
      <c r="E91" s="16">
        <v>1.0</v>
      </c>
      <c r="F91" s="16">
        <v>0.767800729</v>
      </c>
    </row>
    <row r="92" ht="22.5" customHeight="1">
      <c r="B92" s="24" t="s">
        <v>22</v>
      </c>
      <c r="C92" s="17" t="s">
        <v>33</v>
      </c>
      <c r="D92" s="17" t="s">
        <v>33</v>
      </c>
      <c r="E92" s="16">
        <v>2.0</v>
      </c>
      <c r="F92" s="16">
        <v>0.908659226</v>
      </c>
    </row>
    <row r="93" ht="22.5" customHeight="1">
      <c r="B93" s="24" t="s">
        <v>23</v>
      </c>
      <c r="C93" s="17" t="s">
        <v>33</v>
      </c>
      <c r="D93" s="17" t="s">
        <v>33</v>
      </c>
      <c r="E93" s="16">
        <v>2.0</v>
      </c>
      <c r="F93" s="16">
        <v>0.953128202</v>
      </c>
    </row>
    <row r="94" ht="22.5" customHeight="1">
      <c r="B94" s="24" t="s">
        <v>23</v>
      </c>
      <c r="C94" s="17" t="s">
        <v>33</v>
      </c>
      <c r="D94" s="17" t="s">
        <v>33</v>
      </c>
      <c r="E94" s="16">
        <v>1.0</v>
      </c>
      <c r="F94" s="16">
        <v>0.753557841</v>
      </c>
    </row>
    <row r="95" ht="22.5" customHeight="1">
      <c r="B95" s="24" t="s">
        <v>23</v>
      </c>
      <c r="C95" s="17" t="s">
        <v>33</v>
      </c>
      <c r="D95" s="17" t="s">
        <v>33</v>
      </c>
      <c r="E95" s="16">
        <v>0.0</v>
      </c>
      <c r="F95" s="16">
        <v>0.902912914</v>
      </c>
    </row>
    <row r="96" ht="22.5" customHeight="1">
      <c r="B96" s="24" t="s">
        <v>24</v>
      </c>
      <c r="C96" s="17" t="s">
        <v>33</v>
      </c>
      <c r="D96" s="17" t="s">
        <v>33</v>
      </c>
      <c r="E96" s="16">
        <v>0.0</v>
      </c>
      <c r="F96" s="16">
        <v>0.717991571</v>
      </c>
    </row>
    <row r="97" ht="22.5" customHeight="1">
      <c r="B97" s="24" t="s">
        <v>24</v>
      </c>
      <c r="C97" s="17" t="s">
        <v>33</v>
      </c>
      <c r="D97" s="17" t="s">
        <v>33</v>
      </c>
      <c r="E97" s="16">
        <v>1.0</v>
      </c>
      <c r="F97" s="16">
        <v>0.71588416</v>
      </c>
    </row>
    <row r="98" ht="22.5" customHeight="1">
      <c r="B98" s="24" t="s">
        <v>24</v>
      </c>
      <c r="C98" s="17" t="s">
        <v>33</v>
      </c>
      <c r="D98" s="17" t="s">
        <v>33</v>
      </c>
      <c r="E98" s="16">
        <v>2.0</v>
      </c>
      <c r="F98" s="16">
        <v>0.719790225</v>
      </c>
    </row>
    <row r="99" ht="22.5" customHeight="1">
      <c r="B99" s="24" t="s">
        <v>25</v>
      </c>
      <c r="C99" s="17" t="s">
        <v>33</v>
      </c>
      <c r="D99" s="17" t="s">
        <v>33</v>
      </c>
      <c r="E99" s="16">
        <v>0.0</v>
      </c>
      <c r="F99" s="16">
        <v>0.821010638</v>
      </c>
    </row>
    <row r="100" ht="22.5" customHeight="1">
      <c r="B100" s="24" t="s">
        <v>25</v>
      </c>
      <c r="C100" s="17" t="s">
        <v>33</v>
      </c>
      <c r="D100" s="17" t="s">
        <v>33</v>
      </c>
      <c r="E100" s="16">
        <v>1.0</v>
      </c>
      <c r="F100" s="16">
        <v>0.821251507</v>
      </c>
    </row>
    <row r="101" ht="22.5" customHeight="1">
      <c r="B101" s="24" t="s">
        <v>25</v>
      </c>
      <c r="C101" s="17" t="s">
        <v>33</v>
      </c>
      <c r="D101" s="17" t="s">
        <v>33</v>
      </c>
      <c r="E101" s="16">
        <v>2.0</v>
      </c>
      <c r="F101" s="16">
        <v>0.970971837</v>
      </c>
    </row>
  </sheetData>
  <mergeCells count="2">
    <mergeCell ref="B2:P2"/>
    <mergeCell ref="B15:P15"/>
  </mergeCell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8.75"/>
    <col customWidth="1" min="5" max="5" width="20.13"/>
  </cols>
  <sheetData>
    <row r="1">
      <c r="B1" s="25"/>
    </row>
    <row r="2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6" t="s">
        <v>16</v>
      </c>
      <c r="C4" s="9">
        <f>_xlfn.T.TEST( $F$72:$F$74,$F$30:$F$32, 2, 1)</f>
        <v>0.001476609344</v>
      </c>
      <c r="D4" s="9">
        <f>_xlfn.T.TEST( $F$72:$F$74,$F$33:$F$35, 2, 1)</f>
        <v>0.002526273047</v>
      </c>
      <c r="E4" s="9">
        <f>_xlfn.T.TEST( $F$72:$F$74,$F$36:$F$38, 2, 1)</f>
        <v>0.005981866952</v>
      </c>
      <c r="F4" s="9">
        <f>_xlfn.T.TEST( $F$72:$F$74,$F$39:$F$41, 2, 1)</f>
        <v>0.003970394606</v>
      </c>
      <c r="G4" s="9">
        <f>_xlfn.T.TEST( $F$72:$F$74,$F$42:$F$44, 2, 1)</f>
        <v>0.005650222474</v>
      </c>
      <c r="H4" s="9">
        <f>_xlfn.T.TEST( $F$72:$F$74,$F$45:$F$47, 2, 1)</f>
        <v>0.001672281591</v>
      </c>
      <c r="I4" s="9">
        <f>_xlfn.T.TEST( $F$72:$F$74,$F$48:$F$50, 2, 1)</f>
        <v>0.007310230809</v>
      </c>
      <c r="J4" s="9">
        <f>_xlfn.T.TEST( $F$72:$F$74,$F$51:$F$53, 2, 1)</f>
        <v>0.01142931083</v>
      </c>
      <c r="K4" s="9">
        <f>_xlfn.T.TEST( $F$72:$F$74,$F$54:$F$56, 2, 1)</f>
        <v>0.002156530108</v>
      </c>
      <c r="L4" s="9">
        <f>_xlfn.T.TEST( $F$72:$F$74,$F$57:$F$59, 2, 1)</f>
        <v>0.002233063327</v>
      </c>
      <c r="M4" s="9">
        <f>_xlfn.T.TEST( $F$72:$F$74,$F$60:$F$62, 2, 1)</f>
        <v>0.01716161829</v>
      </c>
      <c r="N4" s="9">
        <f>_xlfn.T.TEST( $F$72:$F$74,$F$63:$F$65, 2, 1)</f>
        <v>0.004987525053</v>
      </c>
      <c r="O4" s="9">
        <f>_xlfn.T.TEST( $F$72:$F$74,$F$66:$F$68, 2, 1)</f>
        <v>0.004446584456</v>
      </c>
      <c r="P4" s="9">
        <f>_xlfn.T.TEST( $F$72:$F$74,$F$69:$F$71, 2, 1)</f>
        <v>0.002229228977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6" t="s">
        <v>17</v>
      </c>
      <c r="C5" s="9">
        <f>_xlfn.T.TEST( $F$75:$F$77,$F$30:$F$32, 2, 1)</f>
        <v>0.000002368044978</v>
      </c>
      <c r="D5" s="9">
        <f>_xlfn.T.TEST( $F$75:$F$77,$F$33:$F$35, 2, 1)</f>
        <v>0.000001792419465</v>
      </c>
      <c r="E5" s="9">
        <f>_xlfn.T.TEST( $F$75:$F$77,$F$36:$F$38, 2, 1)</f>
        <v>0.0000008704280117</v>
      </c>
      <c r="F5" s="9">
        <f>_xlfn.T.TEST( $F$75:$F$77,$F$39:$F$41, 2, 1)</f>
        <v>0.000001305000561</v>
      </c>
      <c r="G5" s="9">
        <f>_xlfn.T.TEST( $F$75:$F$77,$F$42:$F$44, 2, 1)</f>
        <v>0.0000003484602457</v>
      </c>
      <c r="H5" s="9">
        <f>_xlfn.T.TEST( $F$75:$F$77,$F$45:$F$47, 2, 1)</f>
        <v>0.000001917247909</v>
      </c>
      <c r="I5" s="9">
        <f>_xlfn.T.TEST( $F$75:$F$77,$F$48:$F$50, 2, 1)</f>
        <v>0.000000545290939</v>
      </c>
      <c r="J5" s="9">
        <f>_xlfn.T.TEST( $F$75:$F$77,$F$51:$F$53, 2, 1)</f>
        <v>0.000001214492257</v>
      </c>
      <c r="K5" s="9">
        <f>_xlfn.T.TEST( $F$75:$F$77,$F$54:$F$56, 2, 1)</f>
        <v>0.00000141142147</v>
      </c>
      <c r="L5" s="9">
        <f>_xlfn.T.TEST( $F$75:$F$77,$F$57:$F$59, 2, 1)</f>
        <v>0.000005255993455</v>
      </c>
      <c r="M5" s="9">
        <f>_xlfn.T.TEST( $F$75:$F$77,$F$60:$F$62, 2, 1)</f>
        <v>0.000002204983723</v>
      </c>
      <c r="N5" s="9">
        <f>_xlfn.T.TEST( $F$75:$F$77,$F$63:$F$65, 2, 1)</f>
        <v>0.0000004783676807</v>
      </c>
      <c r="O5" s="9">
        <f>_xlfn.T.TEST( $F$75:$F$77,$F$66:$F$68, 2, 1)</f>
        <v>0.00000007140201479</v>
      </c>
      <c r="P5" s="9">
        <f>_xlfn.T.TEST( $F$75:$F$77,$F$69:$F$71, 2, 1)</f>
        <v>0.0000148861062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6" t="s">
        <v>18</v>
      </c>
      <c r="C6" s="9">
        <f>_xlfn.T.TEST( $F$78:$F$80,$F$30:$F$32, 2, 1)</f>
        <v>0.005551702346</v>
      </c>
      <c r="D6" s="9">
        <f>_xlfn.T.TEST( $F$78:$F$80,$F$33:$F$35, 2, 1)</f>
        <v>0.006237601889</v>
      </c>
      <c r="E6" s="9">
        <f>_xlfn.T.TEST( $F$78:$F$80,$F$36:$F$38, 2, 1)</f>
        <v>0.008129265103</v>
      </c>
      <c r="F6" s="9">
        <f>_xlfn.T.TEST( $F$78:$F$80,$F$39:$F$41, 2, 1)</f>
        <v>0.007081061737</v>
      </c>
      <c r="G6" s="9">
        <f>_xlfn.T.TEST( $F$78:$F$80,$F$42:$F$44, 2, 1)</f>
        <v>0.007148025198</v>
      </c>
      <c r="H6" s="9">
        <f>_xlfn.T.TEST( $F$78:$F$80,$F$45:$F$47, 2, 1)</f>
        <v>0.00445426866</v>
      </c>
      <c r="I6" s="9">
        <f>_xlfn.T.TEST( $F$78:$F$80,$F$48:$F$50, 2, 1)</f>
        <v>0.008776787593</v>
      </c>
      <c r="J6" s="9">
        <f>_xlfn.T.TEST( $F$78:$F$80,$F$51:$F$53, 2, 1)</f>
        <v>0.01275836235</v>
      </c>
      <c r="K6" s="9">
        <f>_xlfn.T.TEST( $F$78:$F$80,$F$54:$F$56, 2, 1)</f>
        <v>0.005472259269</v>
      </c>
      <c r="L6" s="9">
        <f>_xlfn.T.TEST( $F$78:$F$80,$F$57:$F$59, 2, 1)</f>
        <v>0.007971287387</v>
      </c>
      <c r="M6" s="9">
        <f>_xlfn.T.TEST( $F$78:$F$80,$F$60:$F$62, 2, 1)</f>
        <v>0.02317259369</v>
      </c>
      <c r="N6" s="9">
        <f>_xlfn.T.TEST( $F$78:$F$80,$F$63:$F$65, 2, 1)</f>
        <v>0.02224066908</v>
      </c>
      <c r="O6" s="9">
        <f>_xlfn.T.TEST( $F$78:$F$80,$F$66:$F$68, 2, 1)</f>
        <v>0.01490823418</v>
      </c>
      <c r="P6" s="9">
        <f>_xlfn.T.TEST( $F$78:$F$80,$F$69:$F$71, 2, 1)</f>
        <v>0.007011049247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6" t="s">
        <v>19</v>
      </c>
      <c r="C7" s="9">
        <f>_xlfn.T.TEST( $F$81:$F$83,$F$30:$F$32, 2, 1)</f>
        <v>0.001476609344</v>
      </c>
      <c r="D7" s="9">
        <f>_xlfn.T.TEST( $F$81:$F$83,$F$33:$F$35, 2, 1)</f>
        <v>0.002526273047</v>
      </c>
      <c r="E7" s="9">
        <f>_xlfn.T.TEST( $F$81:$F$83,$F$36:$F$38, 2, 1)</f>
        <v>0.005981866952</v>
      </c>
      <c r="F7" s="9">
        <f>_xlfn.T.TEST( $F$81:$F$83,$F$39:$F$41, 2, 1)</f>
        <v>0.003970394606</v>
      </c>
      <c r="G7" s="9">
        <f>_xlfn.T.TEST( $F$81:$F$83,$F$42:$F$44, 2, 1)</f>
        <v>0.005650222474</v>
      </c>
      <c r="H7" s="9">
        <f>_xlfn.T.TEST( $F$81:$F$83,$F$45:$F$47, 2, 1)</f>
        <v>0.001672281591</v>
      </c>
      <c r="I7" s="9">
        <f>_xlfn.T.TEST( $F$81:$F$83,$F$48:$F$50, 2, 1)</f>
        <v>0.007310230809</v>
      </c>
      <c r="J7" s="9">
        <f>_xlfn.T.TEST( $F$81:$F$83,$F$51:$F$53, 2, 1)</f>
        <v>0.01142931083</v>
      </c>
      <c r="K7" s="9">
        <f>_xlfn.T.TEST( $F$81:$F$83,$F$54:$F$56, 2, 1)</f>
        <v>0.002156530108</v>
      </c>
      <c r="L7" s="9">
        <f>_xlfn.T.TEST( $F$81:$F$83,$F$57:$F$59, 2, 1)</f>
        <v>0.002233063327</v>
      </c>
      <c r="M7" s="9">
        <f>_xlfn.T.TEST( $F$81:$F$83,$F$60:$F$62, 2, 1)</f>
        <v>0.01716161829</v>
      </c>
      <c r="N7" s="9">
        <f>_xlfn.T.TEST( $F$81:$F$83,$F$63:$F$65, 2, 1)</f>
        <v>0.004987525053</v>
      </c>
      <c r="O7" s="9">
        <f>_xlfn.T.TEST( $F$81:$F$83,$F$66:$F$68, 2, 1)</f>
        <v>0.004446584456</v>
      </c>
      <c r="P7" s="9">
        <f>_xlfn.T.TEST( $F$81:$F$83,$F$69:$F$71, 2, 1)</f>
        <v>0.002229228977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6" t="s">
        <v>20</v>
      </c>
      <c r="C8" s="9">
        <f>_xlfn.T.TEST( $F$84:$F$86,$F$30:$F$32, 2, 1)</f>
        <v>0.0166729723</v>
      </c>
      <c r="D8" s="9">
        <f>_xlfn.T.TEST( $F$84:$F$86,$F$33:$F$35, 2, 1)</f>
        <v>0.0172737469</v>
      </c>
      <c r="E8" s="9">
        <f>_xlfn.T.TEST( $F$84:$F$86,$F$36:$F$38, 2, 1)</f>
        <v>0.01936151786</v>
      </c>
      <c r="F8" s="9">
        <f>_xlfn.T.TEST( $F$84:$F$86,$F$39:$F$41, 2, 1)</f>
        <v>0.01819766276</v>
      </c>
      <c r="G8" s="9">
        <f>_xlfn.T.TEST( $F$84:$F$86,$F$42:$F$44, 2, 1)</f>
        <v>0.01472167595</v>
      </c>
      <c r="H8" s="9">
        <f>_xlfn.T.TEST( $F$84:$F$86,$F$45:$F$47, 2, 1)</f>
        <v>0.01212386402</v>
      </c>
      <c r="I8" s="9">
        <f>_xlfn.T.TEST( $F$84:$F$86,$F$48:$F$50, 2, 1)</f>
        <v>0.01970721046</v>
      </c>
      <c r="J8" s="9">
        <f>_xlfn.T.TEST( $F$84:$F$86,$F$51:$F$53, 2, 1)</f>
        <v>0.02999453402</v>
      </c>
      <c r="K8" s="9">
        <f>_xlfn.T.TEST( $F$84:$F$86,$F$54:$F$56, 2, 1)</f>
        <v>0.01431986342</v>
      </c>
      <c r="L8" s="9">
        <f>_xlfn.T.TEST( $F$84:$F$86,$F$57:$F$59, 2, 1)</f>
        <v>0.03182234792</v>
      </c>
      <c r="M8" s="9">
        <f>_xlfn.T.TEST( $F$84:$F$86,$F$60:$F$62, 2, 1)</f>
        <v>0.05185037475</v>
      </c>
      <c r="N8" s="9">
        <f>_xlfn.T.TEST( $F$84:$F$86,$F$63:$F$65, 2, 1)</f>
        <v>0.08061258735</v>
      </c>
      <c r="O8" s="9">
        <f>_xlfn.T.TEST( $F$84:$F$86,$F$66:$F$68, 2, 1)</f>
        <v>0.04193896259</v>
      </c>
      <c r="P8" s="9">
        <f>_xlfn.T.TEST( $F$84:$F$86,$F$69:$F$71, 2, 1)</f>
        <v>0.1678738193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6" t="s">
        <v>24</v>
      </c>
      <c r="C9" s="9">
        <f>_xlfn.T.TEST( $F$87:$F$89,$F$30:$F$32, 2, 1)</f>
        <v>0.002538401312</v>
      </c>
      <c r="D9" s="9">
        <f>_xlfn.T.TEST( $F$87:$F$89,$F$33:$F$35, 2, 1)</f>
        <v>0.002116127332</v>
      </c>
      <c r="E9" s="9">
        <f>_xlfn.T.TEST( $F$87:$F$89,$F$36:$F$38, 2, 1)</f>
        <v>0.001279542995</v>
      </c>
      <c r="F9" s="9">
        <f>_xlfn.T.TEST( $F$87:$F$89,$F$39:$F$41, 2, 1)</f>
        <v>0.00169502824</v>
      </c>
      <c r="G9" s="9">
        <f>_xlfn.T.TEST( $F$87:$F$89,$F$42:$F$44, 2, 1)</f>
        <v>0.002011839081</v>
      </c>
      <c r="H9" s="9">
        <f>_xlfn.T.TEST( $F$87:$F$89,$F$45:$F$47, 2, 1)</f>
        <v>0.003334451015</v>
      </c>
      <c r="I9" s="9">
        <f>_xlfn.T.TEST( $F$87:$F$89,$F$48:$F$50, 2, 1)</f>
        <v>0.001118616907</v>
      </c>
      <c r="J9" s="9">
        <f>_xlfn.T.TEST( $F$87:$F$89,$F$51:$F$53, 2, 1)</f>
        <v>0.0003866934165</v>
      </c>
      <c r="K9" s="9">
        <f>_xlfn.T.TEST( $F$87:$F$89,$F$54:$F$56, 2, 1)</f>
        <v>0.002758481106</v>
      </c>
      <c r="L9" s="9">
        <f>_xlfn.T.TEST( $F$87:$F$89,$F$57:$F$59, 2, 1)</f>
        <v>0.00347994294</v>
      </c>
      <c r="M9" s="9">
        <f>_xlfn.T.TEST( $F$87:$F$89,$F$60:$F$62, 2, 1)</f>
        <v>0.001186531793</v>
      </c>
      <c r="N9" s="9">
        <f>_xlfn.T.TEST( $F$87:$F$89,$F$63:$F$65, 2, 1)</f>
        <v>0.005600495237</v>
      </c>
      <c r="O9" s="9">
        <f>_xlfn.T.TEST( $F$87:$F$89,$F$66:$F$68, 2, 1)</f>
        <v>0.00332595565</v>
      </c>
      <c r="P9" s="9">
        <f>_xlfn.T.TEST( $F$87:$F$89,$F$69:$F$71, 2, 1)</f>
        <v>0.02369620176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6" t="s">
        <v>25</v>
      </c>
      <c r="C10" s="9">
        <f>_xlfn.T.TEST( $F$90:$F$92,$F$30:$F$32, 2, 1)</f>
        <v>0.0109160413</v>
      </c>
      <c r="D10" s="9">
        <f>_xlfn.T.TEST( $F$90:$F$92,$F$33:$F$35, 2, 1)</f>
        <v>0.009402613894</v>
      </c>
      <c r="E10" s="9">
        <f>_xlfn.T.TEST( $F$90:$F$92,$F$36:$F$38, 2, 1)</f>
        <v>0.006598399262</v>
      </c>
      <c r="F10" s="9">
        <f>_xlfn.T.TEST( $F$90:$F$92,$F$39:$F$41, 2, 1)</f>
        <v>0.007900997365</v>
      </c>
      <c r="G10" s="9">
        <f>_xlfn.T.TEST( $F$90:$F$92,$F$42:$F$44, 2, 1)</f>
        <v>0.01336784793</v>
      </c>
      <c r="H10" s="9">
        <f>_xlfn.T.TEST( $F$90:$F$92,$F$45:$F$47, 2, 1)</f>
        <v>0.01768680046</v>
      </c>
      <c r="I10" s="9">
        <f>_xlfn.T.TEST( $F$90:$F$92,$F$48:$F$50, 2, 1)</f>
        <v>0.006762348327</v>
      </c>
      <c r="J10" s="9">
        <f>_xlfn.T.TEST( $F$90:$F$92,$F$51:$F$53, 2, 1)</f>
        <v>0.003135441094</v>
      </c>
      <c r="K10" s="9">
        <f>_xlfn.T.TEST( $F$90:$F$92,$F$54:$F$56, 2, 1)</f>
        <v>0.0150993291</v>
      </c>
      <c r="L10" s="9">
        <f>_xlfn.T.TEST( $F$90:$F$92,$F$57:$F$59, 2, 1)</f>
        <v>0.01472403097</v>
      </c>
      <c r="M10" s="9">
        <f>_xlfn.T.TEST( $F$90:$F$92,$F$60:$F$62, 2, 1)</f>
        <v>0.02916495099</v>
      </c>
      <c r="N10" s="9">
        <f>_xlfn.T.TEST( $F$90:$F$92,$F$63:$F$65, 2, 1)</f>
        <v>0.3562173139</v>
      </c>
      <c r="O10" s="9">
        <f>_xlfn.T.TEST( $F$90:$F$92,$F$66:$F$68, 2, 1)</f>
        <v>0.07835478186</v>
      </c>
      <c r="P10" s="9">
        <f>_xlfn.T.TEST( $F$90:$F$92,$F$69:$F$71, 2, 1)</f>
        <v>0.5928897944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6" t="s">
        <v>21</v>
      </c>
      <c r="C11" s="9">
        <f>_xlfn.T.TEST( $F$93:$F$95,$F$30:$F$32, 2, 1)</f>
        <v>0.00001866119139</v>
      </c>
      <c r="D11" s="9">
        <f>_xlfn.T.TEST( $F$93:$F$95,$F$33:$F$35, 2, 1)</f>
        <v>0.000014137096</v>
      </c>
      <c r="E11" s="9">
        <f>_xlfn.T.TEST( $F$93:$F$95,$F$36:$F$38, 2, 1)</f>
        <v>0.000006878234492</v>
      </c>
      <c r="F11" s="9">
        <f>_xlfn.T.TEST( $F$93:$F$95,$F$39:$F$41, 2, 1)</f>
        <v>0.00001030171082</v>
      </c>
      <c r="G11" s="9">
        <f>_xlfn.T.TEST( $F$93:$F$95,$F$42:$F$44, 2, 1)</f>
        <v>0.000002764533885</v>
      </c>
      <c r="H11" s="9">
        <f>_xlfn.T.TEST( $F$93:$F$95,$F$45:$F$47, 2, 1)</f>
        <v>0.00001516664719</v>
      </c>
      <c r="I11" s="9">
        <f>_xlfn.T.TEST( $F$93:$F$95,$F$48:$F$50, 2, 1)</f>
        <v>0.000004315361373</v>
      </c>
      <c r="J11" s="9">
        <f>_xlfn.T.TEST( $F$93:$F$95,$F$51:$F$53, 2, 1)</f>
        <v>0.000009660155485</v>
      </c>
      <c r="K11" s="9">
        <f>_xlfn.T.TEST( $F$93:$F$95,$F$54:$F$56, 2, 1)</f>
        <v>0.00001118531485</v>
      </c>
      <c r="L11" s="9">
        <f>_xlfn.T.TEST( $F$93:$F$95,$F$57:$F$59, 2, 1)</f>
        <v>0.0000419012248</v>
      </c>
      <c r="M11" s="9">
        <f>_xlfn.T.TEST( $F$93:$F$95,$F$60:$F$62, 2, 1)</f>
        <v>0.00001789838914</v>
      </c>
      <c r="N11" s="9">
        <f>_xlfn.T.TEST( $F$93:$F$95,$F$63:$F$65, 2, 1)</f>
        <v>0.000004018376946</v>
      </c>
      <c r="O11" s="9">
        <f>_xlfn.T.TEST( $F$93:$F$95,$F$66:$F$68, 2, 1)</f>
        <v>0.0000005892714361</v>
      </c>
      <c r="P11" s="9">
        <f>_xlfn.T.TEST( $F$93:$F$95,$F$69:$F$71, 2, 1)</f>
        <v>0.0001252979734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6" t="s">
        <v>22</v>
      </c>
      <c r="C12" s="9">
        <f>_xlfn.T.TEST( $F$96:$F$98,$F$30:$F$32, 2, 1)</f>
        <v>0.00001866119139</v>
      </c>
      <c r="D12" s="9">
        <f>_xlfn.T.TEST( $F$96:$F$98,$F$33:$F$35, 2, 1)</f>
        <v>0.000014137096</v>
      </c>
      <c r="E12" s="9">
        <f>_xlfn.T.TEST( $F$96:$F$98,$F$36:$F$38, 2, 1)</f>
        <v>0.000006878234492</v>
      </c>
      <c r="F12" s="9">
        <f>_xlfn.T.TEST( $F$96:$F$98,$F$39:$F$41, 2, 1)</f>
        <v>0.00001030171082</v>
      </c>
      <c r="G12" s="9">
        <f>_xlfn.T.TEST( $F$96:$F$98,$F$42:$F$44, 2, 1)</f>
        <v>0.000002764533885</v>
      </c>
      <c r="H12" s="9">
        <f>_xlfn.T.TEST( $F$96:$F$98,$F$45:$F$47, 2, 1)</f>
        <v>0.00001516664719</v>
      </c>
      <c r="I12" s="9">
        <f>_xlfn.T.TEST( $F$96:$F$98,$F$48:$F$50, 2, 1)</f>
        <v>0.000004315361373</v>
      </c>
      <c r="J12" s="9">
        <f>_xlfn.T.TEST( $F$96:$F$98,$F$51:$F$53, 2, 1)</f>
        <v>0.000009660155485</v>
      </c>
      <c r="K12" s="9">
        <f>_xlfn.T.TEST( $F$96:$F$98,$F$54:$F$56, 2, 1)</f>
        <v>0.00001118531485</v>
      </c>
      <c r="L12" s="9">
        <f>_xlfn.T.TEST( $F$96:$F$98,$F$57:$F$59, 2, 1)</f>
        <v>0.0000419012248</v>
      </c>
      <c r="M12" s="9">
        <f>_xlfn.T.TEST( $F$96:$F$98,$F$60:$F$62, 2, 1)</f>
        <v>0.00001789838914</v>
      </c>
      <c r="N12" s="9">
        <f>_xlfn.T.TEST( $F$96:$F$98,$F$63:$F$65, 2, 1)</f>
        <v>0.000004018376946</v>
      </c>
      <c r="O12" s="9">
        <f>_xlfn.T.TEST( $F$96:$F$98,$F$66:$F$68, 2, 1)</f>
        <v>0.0000005892714361</v>
      </c>
      <c r="P12" s="9">
        <f>_xlfn.T.TEST( $F$96:$F$98,$F$69:$F$71, 2, 1)</f>
        <v>0.0001252979734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6" t="s">
        <v>23</v>
      </c>
      <c r="C13" s="9">
        <f>_xlfn.T.TEST( $F$99:$F$101,$F$30:$F$32, 2, 1)</f>
        <v>0.00001866119139</v>
      </c>
      <c r="D13" s="9">
        <f>_xlfn.T.TEST( $F$99:$F$101,$F$33:$F$35, 2, 1)</f>
        <v>0.000014137096</v>
      </c>
      <c r="E13" s="9">
        <f>_xlfn.T.TEST( $F$99:$F$101,$F$36:$F$38, 2, 1)</f>
        <v>0.000006878234492</v>
      </c>
      <c r="F13" s="9">
        <f>_xlfn.T.TEST( $F$99:$F$101,$F$39:$F$41, 2, 1)</f>
        <v>0.00001030171082</v>
      </c>
      <c r="G13" s="9">
        <f>_xlfn.T.TEST( $F$99:$F$101,$F$42:$F$44, 2, 1)</f>
        <v>0.000002764533885</v>
      </c>
      <c r="H13" s="9">
        <f>_xlfn.T.TEST( $F$99:$F$101,$F$45:$F$47, 2, 1)</f>
        <v>0.00001516664719</v>
      </c>
      <c r="I13" s="9">
        <f>_xlfn.T.TEST( $F$99:$F$101,$F$48:$F$50, 2, 1)</f>
        <v>0.000004315361373</v>
      </c>
      <c r="J13" s="9">
        <f>_xlfn.T.TEST( $F$99:$F$101,$F$51:$F$53, 2, 1)</f>
        <v>0.000009660155485</v>
      </c>
      <c r="K13" s="9">
        <f>_xlfn.T.TEST( $F$99:$F$101,$F$54:$F$56, 2, 1)</f>
        <v>0.00001118531485</v>
      </c>
      <c r="L13" s="9">
        <f>_xlfn.T.TEST( $F$99:$F$101,$F$57:$F$59, 2, 1)</f>
        <v>0.0000419012248</v>
      </c>
      <c r="M13" s="9">
        <f>_xlfn.T.TEST( $F$99:$F$101,$F$60:$F$62, 2, 1)</f>
        <v>0.00001789838914</v>
      </c>
      <c r="N13" s="9">
        <f>_xlfn.T.TEST( $F$99:$F$101,$F$63:$F$65, 2, 1)</f>
        <v>0.000004018376946</v>
      </c>
      <c r="O13" s="9">
        <f>_xlfn.T.TEST( $F$99:$F$101,$F$66:$F$68, 2, 1)</f>
        <v>0.0000005892714361</v>
      </c>
      <c r="P13" s="9">
        <f>_xlfn.T.TEST( $F$99:$F$101,$F$69:$F$71, 2, 1)</f>
        <v>0.0001252979734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3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>
      <c r="B16" s="10" t="s">
        <v>1</v>
      </c>
      <c r="C16" s="10" t="s">
        <v>2</v>
      </c>
      <c r="D16" s="10" t="s">
        <v>3</v>
      </c>
      <c r="E16" s="10" t="s">
        <v>4</v>
      </c>
      <c r="F16" s="10" t="s">
        <v>5</v>
      </c>
      <c r="G16" s="10" t="s">
        <v>6</v>
      </c>
      <c r="H16" s="10" t="s">
        <v>7</v>
      </c>
      <c r="I16" s="10" t="s">
        <v>8</v>
      </c>
      <c r="J16" s="10" t="s">
        <v>9</v>
      </c>
      <c r="K16" s="10" t="s">
        <v>10</v>
      </c>
      <c r="L16" s="10" t="s">
        <v>11</v>
      </c>
      <c r="M16" s="10" t="s">
        <v>12</v>
      </c>
      <c r="N16" s="10" t="s">
        <v>13</v>
      </c>
      <c r="O16" s="10" t="s">
        <v>14</v>
      </c>
      <c r="P16" s="10" t="s">
        <v>15</v>
      </c>
    </row>
    <row r="17">
      <c r="B17" s="26" t="s">
        <v>16</v>
      </c>
      <c r="C17" s="12" t="str">
        <f t="shared" ref="C17:P17" si="1">IF(C4 &lt; 0.05, "Significant", "Not significant")</f>
        <v>Significant</v>
      </c>
      <c r="D17" s="12" t="str">
        <f t="shared" si="1"/>
        <v>Significant</v>
      </c>
      <c r="E17" s="12" t="str">
        <f t="shared" si="1"/>
        <v>Significant</v>
      </c>
      <c r="F17" s="12" t="str">
        <f t="shared" si="1"/>
        <v>Significant</v>
      </c>
      <c r="G17" s="12" t="str">
        <f t="shared" si="1"/>
        <v>Significant</v>
      </c>
      <c r="H17" s="12" t="str">
        <f t="shared" si="1"/>
        <v>Significant</v>
      </c>
      <c r="I17" s="12" t="str">
        <f t="shared" si="1"/>
        <v>Significant</v>
      </c>
      <c r="J17" s="12" t="str">
        <f t="shared" si="1"/>
        <v>Significant</v>
      </c>
      <c r="K17" s="12" t="str">
        <f t="shared" si="1"/>
        <v>Significant</v>
      </c>
      <c r="L17" s="12" t="str">
        <f t="shared" si="1"/>
        <v>Significant</v>
      </c>
      <c r="M17" s="12" t="str">
        <f t="shared" si="1"/>
        <v>Significant</v>
      </c>
      <c r="N17" s="12" t="str">
        <f t="shared" si="1"/>
        <v>Significant</v>
      </c>
      <c r="O17" s="12" t="str">
        <f t="shared" si="1"/>
        <v>Significant</v>
      </c>
      <c r="P17" s="12" t="str">
        <f t="shared" si="1"/>
        <v>Significant</v>
      </c>
    </row>
    <row r="18">
      <c r="B18" s="26" t="s">
        <v>17</v>
      </c>
      <c r="C18" s="13" t="str">
        <f t="shared" ref="C18:P18" si="2">IF(C5 &lt; 0.05, "Significant", "Not significant")</f>
        <v>Significant</v>
      </c>
      <c r="D18" s="13" t="str">
        <f t="shared" si="2"/>
        <v>Significant</v>
      </c>
      <c r="E18" s="13" t="str">
        <f t="shared" si="2"/>
        <v>Significant</v>
      </c>
      <c r="F18" s="13" t="str">
        <f t="shared" si="2"/>
        <v>Significant</v>
      </c>
      <c r="G18" s="13" t="str">
        <f t="shared" si="2"/>
        <v>Significant</v>
      </c>
      <c r="H18" s="13" t="str">
        <f t="shared" si="2"/>
        <v>Significant</v>
      </c>
      <c r="I18" s="13" t="str">
        <f t="shared" si="2"/>
        <v>Significant</v>
      </c>
      <c r="J18" s="13" t="str">
        <f t="shared" si="2"/>
        <v>Significant</v>
      </c>
      <c r="K18" s="13" t="str">
        <f t="shared" si="2"/>
        <v>Significant</v>
      </c>
      <c r="L18" s="13" t="str">
        <f t="shared" si="2"/>
        <v>Significant</v>
      </c>
      <c r="M18" s="13" t="str">
        <f t="shared" si="2"/>
        <v>Significant</v>
      </c>
      <c r="N18" s="13" t="str">
        <f t="shared" si="2"/>
        <v>Significant</v>
      </c>
      <c r="O18" s="13" t="str">
        <f t="shared" si="2"/>
        <v>Significant</v>
      </c>
      <c r="P18" s="13" t="str">
        <f t="shared" si="2"/>
        <v>Significant</v>
      </c>
    </row>
    <row r="19">
      <c r="B19" s="26" t="s">
        <v>18</v>
      </c>
      <c r="C19" s="13" t="str">
        <f t="shared" ref="C19:P19" si="3">IF(C6 &lt; 0.05, "Significant", "Not significant")</f>
        <v>Significant</v>
      </c>
      <c r="D19" s="13" t="str">
        <f t="shared" si="3"/>
        <v>Significant</v>
      </c>
      <c r="E19" s="13" t="str">
        <f t="shared" si="3"/>
        <v>Significant</v>
      </c>
      <c r="F19" s="13" t="str">
        <f t="shared" si="3"/>
        <v>Significant</v>
      </c>
      <c r="G19" s="13" t="str">
        <f t="shared" si="3"/>
        <v>Significant</v>
      </c>
      <c r="H19" s="13" t="str">
        <f t="shared" si="3"/>
        <v>Significant</v>
      </c>
      <c r="I19" s="13" t="str">
        <f t="shared" si="3"/>
        <v>Significant</v>
      </c>
      <c r="J19" s="13" t="str">
        <f t="shared" si="3"/>
        <v>Significant</v>
      </c>
      <c r="K19" s="13" t="str">
        <f t="shared" si="3"/>
        <v>Significant</v>
      </c>
      <c r="L19" s="13" t="str">
        <f t="shared" si="3"/>
        <v>Significant</v>
      </c>
      <c r="M19" s="13" t="str">
        <f t="shared" si="3"/>
        <v>Significant</v>
      </c>
      <c r="N19" s="13" t="str">
        <f t="shared" si="3"/>
        <v>Significant</v>
      </c>
      <c r="O19" s="13" t="str">
        <f t="shared" si="3"/>
        <v>Significant</v>
      </c>
      <c r="P19" s="13" t="str">
        <f t="shared" si="3"/>
        <v>Significant</v>
      </c>
    </row>
    <row r="20">
      <c r="B20" s="26" t="s">
        <v>19</v>
      </c>
      <c r="C20" s="12" t="str">
        <f t="shared" ref="C20:P20" si="4">IF(C7 &lt; 0.05, "Significant", "Not significant")</f>
        <v>Significant</v>
      </c>
      <c r="D20" s="12" t="str">
        <f t="shared" si="4"/>
        <v>Significant</v>
      </c>
      <c r="E20" s="12" t="str">
        <f t="shared" si="4"/>
        <v>Significant</v>
      </c>
      <c r="F20" s="12" t="str">
        <f t="shared" si="4"/>
        <v>Significant</v>
      </c>
      <c r="G20" s="12" t="str">
        <f t="shared" si="4"/>
        <v>Significant</v>
      </c>
      <c r="H20" s="12" t="str">
        <f t="shared" si="4"/>
        <v>Significant</v>
      </c>
      <c r="I20" s="12" t="str">
        <f t="shared" si="4"/>
        <v>Significant</v>
      </c>
      <c r="J20" s="12" t="str">
        <f t="shared" si="4"/>
        <v>Significant</v>
      </c>
      <c r="K20" s="12" t="str">
        <f t="shared" si="4"/>
        <v>Significant</v>
      </c>
      <c r="L20" s="12" t="str">
        <f t="shared" si="4"/>
        <v>Significant</v>
      </c>
      <c r="M20" s="12" t="str">
        <f t="shared" si="4"/>
        <v>Significant</v>
      </c>
      <c r="N20" s="12" t="str">
        <f t="shared" si="4"/>
        <v>Significant</v>
      </c>
      <c r="O20" s="12" t="str">
        <f t="shared" si="4"/>
        <v>Significant</v>
      </c>
      <c r="P20" s="12" t="str">
        <f t="shared" si="4"/>
        <v>Significant</v>
      </c>
    </row>
    <row r="21">
      <c r="B21" s="26" t="s">
        <v>20</v>
      </c>
      <c r="C21" s="13" t="str">
        <f t="shared" ref="C21:P21" si="5">IF(C8 &lt; 0.05, "Significant", "Not significant")</f>
        <v>Significant</v>
      </c>
      <c r="D21" s="13" t="str">
        <f t="shared" si="5"/>
        <v>Significant</v>
      </c>
      <c r="E21" s="13" t="str">
        <f t="shared" si="5"/>
        <v>Significant</v>
      </c>
      <c r="F21" s="13" t="str">
        <f t="shared" si="5"/>
        <v>Significant</v>
      </c>
      <c r="G21" s="13" t="str">
        <f t="shared" si="5"/>
        <v>Significant</v>
      </c>
      <c r="H21" s="13" t="str">
        <f t="shared" si="5"/>
        <v>Significant</v>
      </c>
      <c r="I21" s="13" t="str">
        <f t="shared" si="5"/>
        <v>Significant</v>
      </c>
      <c r="J21" s="13" t="str">
        <f t="shared" si="5"/>
        <v>Significant</v>
      </c>
      <c r="K21" s="13" t="str">
        <f t="shared" si="5"/>
        <v>Significant</v>
      </c>
      <c r="L21" s="13" t="str">
        <f t="shared" si="5"/>
        <v>Significant</v>
      </c>
      <c r="M21" s="13" t="str">
        <f t="shared" si="5"/>
        <v>Not significant</v>
      </c>
      <c r="N21" s="13" t="str">
        <f t="shared" si="5"/>
        <v>Not significant</v>
      </c>
      <c r="O21" s="13" t="str">
        <f t="shared" si="5"/>
        <v>Significant</v>
      </c>
      <c r="P21" s="13" t="str">
        <f t="shared" si="5"/>
        <v>Not significant</v>
      </c>
    </row>
    <row r="22">
      <c r="B22" s="26" t="s">
        <v>24</v>
      </c>
      <c r="C22" s="12" t="str">
        <f t="shared" ref="C22:P22" si="6">IF(C9 &lt; 0.05, "Significant", "Not significant")</f>
        <v>Significant</v>
      </c>
      <c r="D22" s="12" t="str">
        <f t="shared" si="6"/>
        <v>Significant</v>
      </c>
      <c r="E22" s="12" t="str">
        <f t="shared" si="6"/>
        <v>Significant</v>
      </c>
      <c r="F22" s="12" t="str">
        <f t="shared" si="6"/>
        <v>Significant</v>
      </c>
      <c r="G22" s="12" t="str">
        <f t="shared" si="6"/>
        <v>Significant</v>
      </c>
      <c r="H22" s="12" t="str">
        <f t="shared" si="6"/>
        <v>Significant</v>
      </c>
      <c r="I22" s="12" t="str">
        <f t="shared" si="6"/>
        <v>Significant</v>
      </c>
      <c r="J22" s="12" t="str">
        <f t="shared" si="6"/>
        <v>Significant</v>
      </c>
      <c r="K22" s="12" t="str">
        <f t="shared" si="6"/>
        <v>Significant</v>
      </c>
      <c r="L22" s="12" t="str">
        <f t="shared" si="6"/>
        <v>Significant</v>
      </c>
      <c r="M22" s="12" t="str">
        <f t="shared" si="6"/>
        <v>Significant</v>
      </c>
      <c r="N22" s="12" t="str">
        <f t="shared" si="6"/>
        <v>Significant</v>
      </c>
      <c r="O22" s="12" t="str">
        <f t="shared" si="6"/>
        <v>Significant</v>
      </c>
      <c r="P22" s="12" t="str">
        <f t="shared" si="6"/>
        <v>Significant</v>
      </c>
    </row>
    <row r="23">
      <c r="B23" s="26" t="s">
        <v>25</v>
      </c>
      <c r="C23" s="12" t="str">
        <f t="shared" ref="C23:P23" si="7">IF(C10 &lt; 0.05, "Significant", "Not significant")</f>
        <v>Significant</v>
      </c>
      <c r="D23" s="12" t="str">
        <f t="shared" si="7"/>
        <v>Significant</v>
      </c>
      <c r="E23" s="12" t="str">
        <f t="shared" si="7"/>
        <v>Significant</v>
      </c>
      <c r="F23" s="12" t="str">
        <f t="shared" si="7"/>
        <v>Significant</v>
      </c>
      <c r="G23" s="12" t="str">
        <f t="shared" si="7"/>
        <v>Significant</v>
      </c>
      <c r="H23" s="12" t="str">
        <f t="shared" si="7"/>
        <v>Significant</v>
      </c>
      <c r="I23" s="12" t="str">
        <f t="shared" si="7"/>
        <v>Significant</v>
      </c>
      <c r="J23" s="12" t="str">
        <f t="shared" si="7"/>
        <v>Significant</v>
      </c>
      <c r="K23" s="12" t="str">
        <f t="shared" si="7"/>
        <v>Significant</v>
      </c>
      <c r="L23" s="12" t="str">
        <f t="shared" si="7"/>
        <v>Significant</v>
      </c>
      <c r="M23" s="12" t="str">
        <f t="shared" si="7"/>
        <v>Significant</v>
      </c>
      <c r="N23" s="12" t="str">
        <f t="shared" si="7"/>
        <v>Not significant</v>
      </c>
      <c r="O23" s="12" t="str">
        <f t="shared" si="7"/>
        <v>Not significant</v>
      </c>
      <c r="P23" s="12" t="str">
        <f t="shared" si="7"/>
        <v>Not significant</v>
      </c>
    </row>
    <row r="24">
      <c r="B24" s="26" t="s">
        <v>21</v>
      </c>
      <c r="C24" s="12" t="str">
        <f t="shared" ref="C24:P24" si="8">IF(C11 &lt; 0.05, "Significant", "Not significant")</f>
        <v>Significant</v>
      </c>
      <c r="D24" s="12" t="str">
        <f t="shared" si="8"/>
        <v>Significant</v>
      </c>
      <c r="E24" s="12" t="str">
        <f t="shared" si="8"/>
        <v>Significant</v>
      </c>
      <c r="F24" s="12" t="str">
        <f t="shared" si="8"/>
        <v>Significant</v>
      </c>
      <c r="G24" s="12" t="str">
        <f t="shared" si="8"/>
        <v>Significant</v>
      </c>
      <c r="H24" s="12" t="str">
        <f t="shared" si="8"/>
        <v>Significant</v>
      </c>
      <c r="I24" s="12" t="str">
        <f t="shared" si="8"/>
        <v>Significant</v>
      </c>
      <c r="J24" s="12" t="str">
        <f t="shared" si="8"/>
        <v>Significant</v>
      </c>
      <c r="K24" s="12" t="str">
        <f t="shared" si="8"/>
        <v>Significant</v>
      </c>
      <c r="L24" s="12" t="str">
        <f t="shared" si="8"/>
        <v>Significant</v>
      </c>
      <c r="M24" s="12" t="str">
        <f t="shared" si="8"/>
        <v>Significant</v>
      </c>
      <c r="N24" s="12" t="str">
        <f t="shared" si="8"/>
        <v>Significant</v>
      </c>
      <c r="O24" s="12" t="str">
        <f t="shared" si="8"/>
        <v>Significant</v>
      </c>
      <c r="P24" s="12" t="str">
        <f t="shared" si="8"/>
        <v>Significant</v>
      </c>
    </row>
    <row r="25">
      <c r="B25" s="26" t="s">
        <v>22</v>
      </c>
      <c r="C25" s="13" t="str">
        <f t="shared" ref="C25:P25" si="9">IF(C12 &lt; 0.05, "Significant", "Not significant")</f>
        <v>Significant</v>
      </c>
      <c r="D25" s="13" t="str">
        <f t="shared" si="9"/>
        <v>Significant</v>
      </c>
      <c r="E25" s="13" t="str">
        <f t="shared" si="9"/>
        <v>Significant</v>
      </c>
      <c r="F25" s="13" t="str">
        <f t="shared" si="9"/>
        <v>Significant</v>
      </c>
      <c r="G25" s="13" t="str">
        <f t="shared" si="9"/>
        <v>Significant</v>
      </c>
      <c r="H25" s="13" t="str">
        <f t="shared" si="9"/>
        <v>Significant</v>
      </c>
      <c r="I25" s="13" t="str">
        <f t="shared" si="9"/>
        <v>Significant</v>
      </c>
      <c r="J25" s="13" t="str">
        <f t="shared" si="9"/>
        <v>Significant</v>
      </c>
      <c r="K25" s="13" t="str">
        <f t="shared" si="9"/>
        <v>Significant</v>
      </c>
      <c r="L25" s="13" t="str">
        <f t="shared" si="9"/>
        <v>Significant</v>
      </c>
      <c r="M25" s="13" t="str">
        <f t="shared" si="9"/>
        <v>Significant</v>
      </c>
      <c r="N25" s="13" t="str">
        <f t="shared" si="9"/>
        <v>Significant</v>
      </c>
      <c r="O25" s="13" t="str">
        <f t="shared" si="9"/>
        <v>Significant</v>
      </c>
      <c r="P25" s="13" t="str">
        <f t="shared" si="9"/>
        <v>Significant</v>
      </c>
    </row>
    <row r="26">
      <c r="B26" s="26" t="s">
        <v>23</v>
      </c>
      <c r="C26" s="12" t="str">
        <f t="shared" ref="C26:P26" si="10">IF(C13 &lt; 0.05, "Significant", "Not significant")</f>
        <v>Significant</v>
      </c>
      <c r="D26" s="12" t="str">
        <f t="shared" si="10"/>
        <v>Significant</v>
      </c>
      <c r="E26" s="12" t="str">
        <f t="shared" si="10"/>
        <v>Significant</v>
      </c>
      <c r="F26" s="12" t="str">
        <f t="shared" si="10"/>
        <v>Significant</v>
      </c>
      <c r="G26" s="12" t="str">
        <f t="shared" si="10"/>
        <v>Significant</v>
      </c>
      <c r="H26" s="12" t="str">
        <f t="shared" si="10"/>
        <v>Significant</v>
      </c>
      <c r="I26" s="12" t="str">
        <f t="shared" si="10"/>
        <v>Significant</v>
      </c>
      <c r="J26" s="12" t="str">
        <f t="shared" si="10"/>
        <v>Significant</v>
      </c>
      <c r="K26" s="12" t="str">
        <f t="shared" si="10"/>
        <v>Significant</v>
      </c>
      <c r="L26" s="12" t="str">
        <f t="shared" si="10"/>
        <v>Significant</v>
      </c>
      <c r="M26" s="12" t="str">
        <f t="shared" si="10"/>
        <v>Significant</v>
      </c>
      <c r="N26" s="12" t="str">
        <f t="shared" si="10"/>
        <v>Significant</v>
      </c>
      <c r="O26" s="12" t="str">
        <f t="shared" si="10"/>
        <v>Significant</v>
      </c>
      <c r="P26" s="12" t="str">
        <f t="shared" si="10"/>
        <v>Significant</v>
      </c>
    </row>
    <row r="29" ht="22.5" customHeight="1">
      <c r="B29" s="27" t="s">
        <v>29</v>
      </c>
      <c r="C29" s="27" t="s">
        <v>37</v>
      </c>
      <c r="D29" s="27" t="s">
        <v>38</v>
      </c>
      <c r="E29" s="27" t="s">
        <v>39</v>
      </c>
      <c r="F29" s="27" t="s">
        <v>40</v>
      </c>
      <c r="G29" s="28" t="s">
        <v>41</v>
      </c>
    </row>
    <row r="30" ht="22.5" customHeight="1">
      <c r="B30" s="16"/>
      <c r="C30" s="16" t="s">
        <v>32</v>
      </c>
      <c r="D30" s="16">
        <v>0.0</v>
      </c>
      <c r="E30" s="16">
        <v>1.0</v>
      </c>
      <c r="F30" s="16">
        <f t="shared" ref="F30:F71" si="11">G30/100</f>
        <v>0.9708731696</v>
      </c>
      <c r="G30" s="16">
        <v>97.0873169647111</v>
      </c>
    </row>
    <row r="31" ht="22.5" customHeight="1">
      <c r="B31" s="16"/>
      <c r="C31" s="16" t="s">
        <v>32</v>
      </c>
      <c r="D31" s="16">
        <v>1.0</v>
      </c>
      <c r="E31" s="16">
        <v>1.0</v>
      </c>
      <c r="F31" s="16">
        <f t="shared" si="11"/>
        <v>0.9760615788</v>
      </c>
      <c r="G31" s="16">
        <v>97.6061578754052</v>
      </c>
    </row>
    <row r="32" ht="22.5" customHeight="1">
      <c r="B32" s="16"/>
      <c r="C32" s="16" t="s">
        <v>32</v>
      </c>
      <c r="D32" s="16">
        <v>2.0</v>
      </c>
      <c r="E32" s="16">
        <v>1.0</v>
      </c>
      <c r="F32" s="16">
        <f t="shared" si="11"/>
        <v>0.973391296</v>
      </c>
      <c r="G32" s="16">
        <v>97.3391296039745</v>
      </c>
    </row>
    <row r="33" ht="22.5" customHeight="1">
      <c r="B33" s="16"/>
      <c r="C33" s="16" t="s">
        <v>34</v>
      </c>
      <c r="D33" s="16">
        <v>0.0</v>
      </c>
      <c r="E33" s="16">
        <v>1.0</v>
      </c>
      <c r="F33" s="16">
        <f t="shared" si="11"/>
        <v>0.9708731696</v>
      </c>
      <c r="G33" s="16">
        <v>97.0873169647111</v>
      </c>
    </row>
    <row r="34" ht="22.5" customHeight="1">
      <c r="B34" s="16"/>
      <c r="C34" s="16" t="s">
        <v>34</v>
      </c>
      <c r="D34" s="16">
        <v>1.0</v>
      </c>
      <c r="E34" s="16">
        <v>1.0</v>
      </c>
      <c r="F34" s="16">
        <f t="shared" si="11"/>
        <v>0.9753762188</v>
      </c>
      <c r="G34" s="16">
        <v>97.5376218821314</v>
      </c>
    </row>
    <row r="35" ht="22.5" customHeight="1">
      <c r="B35" s="16"/>
      <c r="C35" s="16" t="s">
        <v>34</v>
      </c>
      <c r="D35" s="16">
        <v>2.0</v>
      </c>
      <c r="E35" s="16">
        <v>1.0</v>
      </c>
      <c r="F35" s="16">
        <f t="shared" si="11"/>
        <v>0.973391296</v>
      </c>
      <c r="G35" s="16">
        <v>97.3391296039745</v>
      </c>
    </row>
    <row r="36" ht="22.5" customHeight="1">
      <c r="B36" s="16" t="s">
        <v>35</v>
      </c>
      <c r="C36" s="16" t="s">
        <v>32</v>
      </c>
      <c r="D36" s="16">
        <v>0.0</v>
      </c>
      <c r="E36" s="16">
        <v>5.0</v>
      </c>
      <c r="F36" s="16">
        <f t="shared" si="11"/>
        <v>0.9709040086</v>
      </c>
      <c r="G36" s="16">
        <v>97.0904008639857</v>
      </c>
    </row>
    <row r="37" ht="22.5" customHeight="1">
      <c r="B37" s="16" t="s">
        <v>35</v>
      </c>
      <c r="C37" s="16" t="s">
        <v>32</v>
      </c>
      <c r="D37" s="16">
        <v>1.0</v>
      </c>
      <c r="E37" s="16">
        <v>5.0</v>
      </c>
      <c r="F37" s="16">
        <f t="shared" si="11"/>
        <v>0.9737927958</v>
      </c>
      <c r="G37" s="16">
        <v>97.3792795806847</v>
      </c>
    </row>
    <row r="38" ht="22.5" customHeight="1">
      <c r="B38" s="16" t="s">
        <v>35</v>
      </c>
      <c r="C38" s="16" t="s">
        <v>32</v>
      </c>
      <c r="D38" s="16">
        <v>2.0</v>
      </c>
      <c r="E38" s="16">
        <v>5.0</v>
      </c>
      <c r="F38" s="16">
        <f t="shared" si="11"/>
        <v>0.9734222972</v>
      </c>
      <c r="G38" s="16">
        <v>97.3422297243498</v>
      </c>
    </row>
    <row r="39" ht="22.5" customHeight="1">
      <c r="B39" s="16" t="s">
        <v>35</v>
      </c>
      <c r="C39" s="16" t="s">
        <v>34</v>
      </c>
      <c r="D39" s="16">
        <v>0.0</v>
      </c>
      <c r="E39" s="16">
        <v>5.0</v>
      </c>
      <c r="F39" s="16">
        <f t="shared" si="11"/>
        <v>0.9708731696</v>
      </c>
      <c r="G39" s="16">
        <v>97.0873169647111</v>
      </c>
    </row>
    <row r="40" ht="22.5" customHeight="1">
      <c r="B40" s="16" t="s">
        <v>35</v>
      </c>
      <c r="C40" s="16" t="s">
        <v>34</v>
      </c>
      <c r="D40" s="16">
        <v>1.0</v>
      </c>
      <c r="E40" s="16">
        <v>5.0</v>
      </c>
      <c r="F40" s="16">
        <f t="shared" si="11"/>
        <v>0.9746468093</v>
      </c>
      <c r="G40" s="16">
        <v>97.4646809324871</v>
      </c>
    </row>
    <row r="41" ht="22.5" customHeight="1">
      <c r="B41" s="16" t="s">
        <v>35</v>
      </c>
      <c r="C41" s="16" t="s">
        <v>34</v>
      </c>
      <c r="D41" s="16">
        <v>2.0</v>
      </c>
      <c r="E41" s="16">
        <v>5.0</v>
      </c>
      <c r="F41" s="16">
        <f t="shared" si="11"/>
        <v>0.9734222972</v>
      </c>
      <c r="G41" s="16">
        <v>97.3422297243498</v>
      </c>
    </row>
    <row r="42" ht="22.5" customHeight="1">
      <c r="B42" s="29" t="s">
        <v>36</v>
      </c>
      <c r="C42" s="16" t="s">
        <v>32</v>
      </c>
      <c r="D42" s="16">
        <v>0.0</v>
      </c>
      <c r="E42" s="16">
        <v>5.0</v>
      </c>
      <c r="F42" s="16">
        <f t="shared" si="11"/>
        <v>0.9708885889</v>
      </c>
      <c r="G42" s="16">
        <v>97.0888588898594</v>
      </c>
    </row>
    <row r="43" ht="22.5" customHeight="1">
      <c r="B43" s="29" t="s">
        <v>36</v>
      </c>
      <c r="C43" s="16" t="s">
        <v>32</v>
      </c>
      <c r="D43" s="16">
        <v>1.0</v>
      </c>
      <c r="E43" s="16">
        <v>5.0</v>
      </c>
      <c r="F43" s="16">
        <f t="shared" si="11"/>
        <v>0.9727690863</v>
      </c>
      <c r="G43" s="16">
        <v>97.276908630815</v>
      </c>
    </row>
    <row r="44" ht="22.5" customHeight="1">
      <c r="B44" s="29" t="s">
        <v>36</v>
      </c>
      <c r="C44" s="16" t="s">
        <v>32</v>
      </c>
      <c r="D44" s="16">
        <v>2.0</v>
      </c>
      <c r="E44" s="16">
        <v>5.0</v>
      </c>
      <c r="F44" s="16">
        <f t="shared" si="11"/>
        <v>0.9712733166</v>
      </c>
      <c r="G44" s="16">
        <v>97.1273316597286</v>
      </c>
    </row>
    <row r="45" ht="22.5" customHeight="1">
      <c r="B45" s="29" t="s">
        <v>36</v>
      </c>
      <c r="C45" s="16" t="s">
        <v>34</v>
      </c>
      <c r="D45" s="16">
        <v>0.0</v>
      </c>
      <c r="E45" s="16">
        <v>5.0</v>
      </c>
      <c r="F45" s="16">
        <f t="shared" si="11"/>
        <v>0.9708731696</v>
      </c>
      <c r="G45" s="16">
        <v>97.0873169647111</v>
      </c>
    </row>
    <row r="46" ht="22.5" customHeight="1">
      <c r="B46" s="29" t="s">
        <v>36</v>
      </c>
      <c r="C46" s="16" t="s">
        <v>34</v>
      </c>
      <c r="D46" s="16">
        <v>1.0</v>
      </c>
      <c r="E46" s="16">
        <v>5.0</v>
      </c>
      <c r="F46" s="16">
        <f t="shared" si="11"/>
        <v>0.9750977108</v>
      </c>
      <c r="G46" s="16">
        <v>97.5097710776102</v>
      </c>
    </row>
    <row r="47" ht="22.5" customHeight="1">
      <c r="B47" s="29" t="s">
        <v>36</v>
      </c>
      <c r="C47" s="16" t="s">
        <v>34</v>
      </c>
      <c r="D47" s="16">
        <v>2.0</v>
      </c>
      <c r="E47" s="16">
        <v>5.0</v>
      </c>
      <c r="F47" s="16">
        <f t="shared" si="11"/>
        <v>0.9712733166</v>
      </c>
      <c r="G47" s="16">
        <v>97.1273316597286</v>
      </c>
    </row>
    <row r="48" ht="22.5" customHeight="1">
      <c r="B48" s="30" t="s">
        <v>35</v>
      </c>
      <c r="C48" s="16" t="s">
        <v>32</v>
      </c>
      <c r="D48" s="16">
        <v>0.0</v>
      </c>
      <c r="E48" s="16">
        <v>10.0</v>
      </c>
      <c r="F48" s="16">
        <f t="shared" si="11"/>
        <v>0.9708731696</v>
      </c>
      <c r="G48" s="16">
        <v>97.0873169647111</v>
      </c>
    </row>
    <row r="49" ht="22.5" customHeight="1">
      <c r="B49" s="30" t="s">
        <v>35</v>
      </c>
      <c r="C49" s="16" t="s">
        <v>32</v>
      </c>
      <c r="D49" s="16">
        <v>1.0</v>
      </c>
      <c r="E49" s="16">
        <v>10.0</v>
      </c>
      <c r="F49" s="16">
        <f t="shared" si="11"/>
        <v>0.9730030881</v>
      </c>
      <c r="G49" s="16">
        <v>97.3003088090159</v>
      </c>
    </row>
    <row r="50" ht="22.5" customHeight="1">
      <c r="B50" s="30" t="s">
        <v>35</v>
      </c>
      <c r="C50" s="16" t="s">
        <v>32</v>
      </c>
      <c r="D50" s="16">
        <v>2.0</v>
      </c>
      <c r="E50" s="16">
        <v>10.0</v>
      </c>
      <c r="F50" s="16">
        <f t="shared" si="11"/>
        <v>0.9730504131</v>
      </c>
      <c r="G50" s="16">
        <v>97.3050413078429</v>
      </c>
    </row>
    <row r="51" ht="22.5" customHeight="1">
      <c r="B51" s="30" t="s">
        <v>35</v>
      </c>
      <c r="C51" s="16" t="s">
        <v>34</v>
      </c>
      <c r="D51" s="16">
        <v>0.0</v>
      </c>
      <c r="E51" s="16">
        <v>10.0</v>
      </c>
      <c r="F51" s="16">
        <f t="shared" si="11"/>
        <v>0.9692751601</v>
      </c>
      <c r="G51" s="16">
        <v>96.9275160124294</v>
      </c>
    </row>
    <row r="52" ht="22.5" customHeight="1">
      <c r="B52" s="30" t="s">
        <v>35</v>
      </c>
      <c r="C52" s="16" t="s">
        <v>34</v>
      </c>
      <c r="D52" s="16">
        <v>1.0</v>
      </c>
      <c r="E52" s="16">
        <v>10.0</v>
      </c>
      <c r="F52" s="16">
        <f t="shared" si="11"/>
        <v>0.9706391425</v>
      </c>
      <c r="G52" s="16">
        <v>97.0639142516871</v>
      </c>
    </row>
    <row r="53" ht="22.5" customHeight="1">
      <c r="B53" s="30" t="s">
        <v>35</v>
      </c>
      <c r="C53" s="16" t="s">
        <v>34</v>
      </c>
      <c r="D53" s="16">
        <v>2.0</v>
      </c>
      <c r="E53" s="16">
        <v>10.0</v>
      </c>
      <c r="F53" s="16">
        <f t="shared" si="11"/>
        <v>0.9729420004</v>
      </c>
      <c r="G53" s="16">
        <v>97.2942000381995</v>
      </c>
    </row>
    <row r="54" ht="22.5" customHeight="1">
      <c r="B54" s="29" t="s">
        <v>36</v>
      </c>
      <c r="C54" s="16" t="s">
        <v>32</v>
      </c>
      <c r="D54" s="16">
        <v>0.0</v>
      </c>
      <c r="E54" s="16">
        <v>10.0</v>
      </c>
      <c r="F54" s="16">
        <f t="shared" si="11"/>
        <v>0.9703492063</v>
      </c>
      <c r="G54" s="16">
        <v>97.0349206349206</v>
      </c>
    </row>
    <row r="55" ht="22.5" customHeight="1">
      <c r="B55" s="29" t="s">
        <v>36</v>
      </c>
      <c r="C55" s="16" t="s">
        <v>32</v>
      </c>
      <c r="D55" s="16">
        <v>1.0</v>
      </c>
      <c r="E55" s="16">
        <v>10.0</v>
      </c>
      <c r="F55" s="16">
        <f t="shared" si="11"/>
        <v>0.9741816211</v>
      </c>
      <c r="G55" s="16">
        <v>97.4181621139196</v>
      </c>
    </row>
    <row r="56" ht="22.5" customHeight="1">
      <c r="B56" s="29" t="s">
        <v>36</v>
      </c>
      <c r="C56" s="16" t="s">
        <v>32</v>
      </c>
      <c r="D56" s="16">
        <v>2.0</v>
      </c>
      <c r="E56" s="16">
        <v>10.0</v>
      </c>
      <c r="F56" s="16">
        <f t="shared" si="11"/>
        <v>0.9712733166</v>
      </c>
      <c r="G56" s="16">
        <v>97.1273316597286</v>
      </c>
    </row>
    <row r="57" ht="22.5" customHeight="1">
      <c r="B57" s="29" t="s">
        <v>36</v>
      </c>
      <c r="C57" s="16" t="s">
        <v>34</v>
      </c>
      <c r="D57" s="16">
        <v>0.0</v>
      </c>
      <c r="E57" s="16">
        <v>10.0</v>
      </c>
      <c r="F57" s="16">
        <f t="shared" si="11"/>
        <v>0.9661035698</v>
      </c>
      <c r="G57" s="16">
        <v>96.610356979188</v>
      </c>
    </row>
    <row r="58" ht="22.5" customHeight="1">
      <c r="B58" s="29" t="s">
        <v>36</v>
      </c>
      <c r="C58" s="16" t="s">
        <v>34</v>
      </c>
      <c r="D58" s="16">
        <v>1.0</v>
      </c>
      <c r="E58" s="16">
        <v>10.0</v>
      </c>
      <c r="F58" s="16">
        <f t="shared" si="11"/>
        <v>0.9736376814</v>
      </c>
      <c r="G58" s="16">
        <v>97.3637681390274</v>
      </c>
    </row>
    <row r="59" ht="22.5" customHeight="1">
      <c r="B59" s="29" t="s">
        <v>36</v>
      </c>
      <c r="C59" s="16" t="s">
        <v>34</v>
      </c>
      <c r="D59" s="16">
        <v>2.0</v>
      </c>
      <c r="E59" s="16">
        <v>10.0</v>
      </c>
      <c r="F59" s="16">
        <f t="shared" si="11"/>
        <v>0.9712733166</v>
      </c>
      <c r="G59" s="16">
        <v>97.1273316597286</v>
      </c>
    </row>
    <row r="60" ht="22.5" customHeight="1">
      <c r="B60" s="30" t="s">
        <v>35</v>
      </c>
      <c r="C60" s="16" t="s">
        <v>32</v>
      </c>
      <c r="D60" s="16">
        <v>0.0</v>
      </c>
      <c r="E60" s="16">
        <v>50.0</v>
      </c>
      <c r="F60" s="16">
        <f t="shared" si="11"/>
        <v>0.9666076398</v>
      </c>
      <c r="G60" s="16">
        <v>96.6607639767265</v>
      </c>
    </row>
    <row r="61" ht="22.5" customHeight="1">
      <c r="B61" s="30" t="s">
        <v>35</v>
      </c>
      <c r="C61" s="16" t="s">
        <v>32</v>
      </c>
      <c r="D61" s="16">
        <v>1.0</v>
      </c>
      <c r="E61" s="16">
        <v>50.0</v>
      </c>
      <c r="F61" s="16">
        <f t="shared" si="11"/>
        <v>0.9627600107</v>
      </c>
      <c r="G61" s="16">
        <v>96.2760010707481</v>
      </c>
    </row>
    <row r="62" ht="22.5" customHeight="1">
      <c r="B62" s="30" t="s">
        <v>35</v>
      </c>
      <c r="C62" s="16" t="s">
        <v>32</v>
      </c>
      <c r="D62" s="16">
        <v>2.0</v>
      </c>
      <c r="E62" s="16">
        <v>50.0</v>
      </c>
      <c r="F62" s="16">
        <f t="shared" si="11"/>
        <v>0.9674040318</v>
      </c>
      <c r="G62" s="16">
        <v>96.7404031773157</v>
      </c>
    </row>
    <row r="63" ht="22.5" customHeight="1">
      <c r="B63" s="30" t="s">
        <v>35</v>
      </c>
      <c r="C63" s="16" t="s">
        <v>34</v>
      </c>
      <c r="D63" s="16">
        <v>0.0</v>
      </c>
      <c r="E63" s="16">
        <v>50.0</v>
      </c>
      <c r="F63" s="16">
        <f t="shared" si="11"/>
        <v>0.9580735124</v>
      </c>
      <c r="G63" s="16">
        <v>95.8073512361733</v>
      </c>
    </row>
    <row r="64" ht="22.5" customHeight="1">
      <c r="B64" s="30" t="s">
        <v>35</v>
      </c>
      <c r="C64" s="16" t="s">
        <v>34</v>
      </c>
      <c r="D64" s="16">
        <v>1.0</v>
      </c>
      <c r="E64" s="16">
        <v>50.0</v>
      </c>
      <c r="F64" s="16">
        <f t="shared" si="11"/>
        <v>0.9565027322</v>
      </c>
      <c r="G64" s="16">
        <v>95.6502732240437</v>
      </c>
    </row>
    <row r="65" ht="22.5" customHeight="1">
      <c r="B65" s="30" t="s">
        <v>35</v>
      </c>
      <c r="C65" s="16" t="s">
        <v>34</v>
      </c>
      <c r="D65" s="16">
        <v>2.0</v>
      </c>
      <c r="E65" s="16">
        <v>50.0</v>
      </c>
      <c r="F65" s="16">
        <f t="shared" si="11"/>
        <v>0.9558421258</v>
      </c>
      <c r="G65" s="16">
        <v>95.5842125830402</v>
      </c>
    </row>
    <row r="66" ht="22.5" customHeight="1">
      <c r="B66" s="29" t="s">
        <v>36</v>
      </c>
      <c r="C66" s="16" t="s">
        <v>32</v>
      </c>
      <c r="D66" s="16">
        <v>0.0</v>
      </c>
      <c r="E66" s="16">
        <v>50.0</v>
      </c>
      <c r="F66" s="16">
        <f t="shared" si="11"/>
        <v>0.9615638663</v>
      </c>
      <c r="G66" s="16">
        <v>96.1563866259868</v>
      </c>
    </row>
    <row r="67" ht="22.5" customHeight="1">
      <c r="B67" s="29" t="s">
        <v>36</v>
      </c>
      <c r="C67" s="16" t="s">
        <v>32</v>
      </c>
      <c r="D67" s="16">
        <v>1.0</v>
      </c>
      <c r="E67" s="16">
        <v>50.0</v>
      </c>
      <c r="F67" s="16">
        <f t="shared" si="11"/>
        <v>0.9615638663</v>
      </c>
      <c r="G67" s="16">
        <v>96.1563866259868</v>
      </c>
    </row>
    <row r="68" ht="22.5" customHeight="1">
      <c r="B68" s="29" t="s">
        <v>36</v>
      </c>
      <c r="C68" s="16" t="s">
        <v>32</v>
      </c>
      <c r="D68" s="16">
        <v>2.0</v>
      </c>
      <c r="E68" s="16">
        <v>50.0</v>
      </c>
      <c r="F68" s="16">
        <f t="shared" si="11"/>
        <v>0.9607932492</v>
      </c>
      <c r="G68" s="16">
        <v>96.0793249210365</v>
      </c>
    </row>
    <row r="69" ht="22.5" customHeight="1">
      <c r="B69" s="29" t="s">
        <v>36</v>
      </c>
      <c r="C69" s="16" t="s">
        <v>34</v>
      </c>
      <c r="D69" s="16">
        <v>0.0</v>
      </c>
      <c r="E69" s="16">
        <v>50.0</v>
      </c>
      <c r="F69" s="16">
        <f t="shared" si="11"/>
        <v>0.9514076839</v>
      </c>
      <c r="G69" s="16">
        <v>95.1407683932182</v>
      </c>
    </row>
    <row r="70" ht="22.5" customHeight="1">
      <c r="B70" s="29" t="s">
        <v>36</v>
      </c>
      <c r="C70" s="16" t="s">
        <v>34</v>
      </c>
      <c r="D70" s="16">
        <v>1.0</v>
      </c>
      <c r="E70" s="16">
        <v>50.0</v>
      </c>
      <c r="F70" s="16">
        <f t="shared" si="11"/>
        <v>0.9634999685</v>
      </c>
      <c r="G70" s="16">
        <v>96.3499968480111</v>
      </c>
    </row>
    <row r="71" ht="22.5" customHeight="1">
      <c r="B71" s="29" t="s">
        <v>36</v>
      </c>
      <c r="C71" s="16" t="s">
        <v>34</v>
      </c>
      <c r="D71" s="16">
        <v>2.0</v>
      </c>
      <c r="E71" s="16">
        <v>50.0</v>
      </c>
      <c r="F71" s="16">
        <f t="shared" si="11"/>
        <v>0.9538696744</v>
      </c>
      <c r="G71" s="16">
        <v>95.3869674420055</v>
      </c>
    </row>
    <row r="72" ht="22.5" customHeight="1">
      <c r="B72" s="16"/>
      <c r="C72" s="24" t="s">
        <v>16</v>
      </c>
      <c r="D72" s="16">
        <v>0.0</v>
      </c>
      <c r="E72" s="18"/>
      <c r="F72" s="16">
        <v>0.988302255</v>
      </c>
      <c r="G72" s="31"/>
    </row>
    <row r="73" ht="22.5" customHeight="1">
      <c r="B73" s="16"/>
      <c r="C73" s="24" t="s">
        <v>16</v>
      </c>
      <c r="D73" s="16">
        <v>1.0</v>
      </c>
      <c r="E73" s="18"/>
      <c r="F73" s="16">
        <v>0.99518698</v>
      </c>
      <c r="G73" s="31"/>
    </row>
    <row r="74" ht="22.5" customHeight="1">
      <c r="B74" s="16"/>
      <c r="C74" s="24" t="s">
        <v>16</v>
      </c>
      <c r="D74" s="16">
        <v>2.0</v>
      </c>
      <c r="E74" s="18"/>
      <c r="F74" s="16">
        <v>0.990232837</v>
      </c>
      <c r="G74" s="31"/>
    </row>
    <row r="75" ht="22.5" customHeight="1">
      <c r="B75" s="16"/>
      <c r="C75" s="24" t="s">
        <v>17</v>
      </c>
      <c r="D75" s="16">
        <v>0.0</v>
      </c>
      <c r="E75" s="18"/>
      <c r="F75" s="16">
        <v>0.0</v>
      </c>
      <c r="G75" s="31"/>
    </row>
    <row r="76" ht="22.5" customHeight="1">
      <c r="B76" s="16"/>
      <c r="C76" s="24" t="s">
        <v>17</v>
      </c>
      <c r="D76" s="16">
        <v>1.0</v>
      </c>
      <c r="E76" s="18"/>
      <c r="F76" s="16">
        <v>0.0</v>
      </c>
      <c r="G76" s="31"/>
    </row>
    <row r="77" ht="22.5" customHeight="1">
      <c r="B77" s="16"/>
      <c r="C77" s="24" t="s">
        <v>17</v>
      </c>
      <c r="D77" s="16">
        <v>2.0</v>
      </c>
      <c r="E77" s="18"/>
      <c r="F77" s="16">
        <v>0.0</v>
      </c>
      <c r="G77" s="31"/>
    </row>
    <row r="78" ht="22.5" customHeight="1">
      <c r="B78" s="16"/>
      <c r="C78" s="24" t="s">
        <v>18</v>
      </c>
      <c r="D78" s="16">
        <v>0.0</v>
      </c>
      <c r="E78" s="18"/>
      <c r="F78" s="16">
        <v>0.930043703</v>
      </c>
      <c r="G78" s="31"/>
    </row>
    <row r="79" ht="22.5" customHeight="1">
      <c r="B79" s="16"/>
      <c r="C79" s="24" t="s">
        <v>18</v>
      </c>
      <c r="D79" s="16">
        <v>1.0</v>
      </c>
      <c r="E79" s="18"/>
      <c r="F79" s="16">
        <v>0.938574411</v>
      </c>
      <c r="G79" s="31"/>
    </row>
    <row r="80" ht="22.5" customHeight="1">
      <c r="B80" s="16"/>
      <c r="C80" s="24" t="s">
        <v>18</v>
      </c>
      <c r="D80" s="16">
        <v>2.0</v>
      </c>
      <c r="E80" s="18"/>
      <c r="F80" s="16">
        <v>0.925222652</v>
      </c>
      <c r="G80" s="31"/>
    </row>
    <row r="81" ht="22.5" customHeight="1">
      <c r="B81" s="16"/>
      <c r="C81" s="24" t="s">
        <v>19</v>
      </c>
      <c r="D81" s="16">
        <v>0.0</v>
      </c>
      <c r="E81" s="18"/>
      <c r="F81" s="16">
        <v>0.988302255</v>
      </c>
      <c r="G81" s="31"/>
    </row>
    <row r="82" ht="22.5" customHeight="1">
      <c r="B82" s="16"/>
      <c r="C82" s="24" t="s">
        <v>19</v>
      </c>
      <c r="D82" s="16">
        <v>1.0</v>
      </c>
      <c r="E82" s="18"/>
      <c r="F82" s="16">
        <v>0.99518698</v>
      </c>
      <c r="G82" s="31"/>
    </row>
    <row r="83" ht="22.5" customHeight="1">
      <c r="B83" s="16"/>
      <c r="C83" s="24" t="s">
        <v>19</v>
      </c>
      <c r="D83" s="16">
        <v>2.0</v>
      </c>
      <c r="E83" s="18"/>
      <c r="F83" s="16">
        <v>0.990232837</v>
      </c>
      <c r="G83" s="31"/>
    </row>
    <row r="84" ht="22.5" customHeight="1">
      <c r="B84" s="16"/>
      <c r="C84" s="24" t="s">
        <v>20</v>
      </c>
      <c r="D84" s="16">
        <v>0.0</v>
      </c>
      <c r="E84" s="18"/>
      <c r="F84" s="16">
        <v>0.950938715</v>
      </c>
      <c r="G84" s="31"/>
    </row>
    <row r="85" ht="22.5" customHeight="1">
      <c r="B85" s="16"/>
      <c r="C85" s="24" t="s">
        <v>20</v>
      </c>
      <c r="D85" s="16">
        <v>1.0</v>
      </c>
      <c r="E85" s="18"/>
      <c r="F85" s="16">
        <v>0.951399295</v>
      </c>
      <c r="G85" s="31"/>
    </row>
    <row r="86" ht="22.5" customHeight="1">
      <c r="B86" s="16"/>
      <c r="C86" s="24" t="s">
        <v>20</v>
      </c>
      <c r="D86" s="16">
        <v>2.0</v>
      </c>
      <c r="E86" s="18"/>
      <c r="F86" s="16">
        <v>0.94204571</v>
      </c>
      <c r="G86" s="31"/>
    </row>
    <row r="87" ht="22.5" customHeight="1">
      <c r="B87" s="16"/>
      <c r="C87" s="24" t="s">
        <v>24</v>
      </c>
      <c r="D87" s="16">
        <v>0.0</v>
      </c>
      <c r="E87" s="18"/>
      <c r="F87" s="16">
        <v>0.925265572</v>
      </c>
      <c r="G87" s="31"/>
    </row>
    <row r="88" ht="22.5" customHeight="1">
      <c r="B88" s="16"/>
      <c r="C88" s="24" t="s">
        <v>24</v>
      </c>
      <c r="D88" s="16">
        <v>1.0</v>
      </c>
      <c r="E88" s="18"/>
      <c r="F88" s="16">
        <v>0.925049863</v>
      </c>
      <c r="G88" s="31"/>
    </row>
    <row r="89" ht="22.5" customHeight="1">
      <c r="B89" s="16"/>
      <c r="C89" s="24" t="s">
        <v>24</v>
      </c>
      <c r="D89" s="16">
        <v>2.0</v>
      </c>
      <c r="E89" s="18"/>
      <c r="F89" s="16">
        <v>0.930353724</v>
      </c>
      <c r="G89" s="31"/>
    </row>
    <row r="90" ht="22.5" customHeight="1">
      <c r="B90" s="16"/>
      <c r="C90" s="24" t="s">
        <v>25</v>
      </c>
      <c r="D90" s="16">
        <v>0.0</v>
      </c>
      <c r="E90" s="18"/>
      <c r="F90" s="16">
        <v>0.950478581</v>
      </c>
      <c r="G90" s="31"/>
    </row>
    <row r="91" ht="22.5" customHeight="1">
      <c r="B91" s="16"/>
      <c r="C91" s="24" t="s">
        <v>25</v>
      </c>
      <c r="D91" s="16">
        <v>1.0</v>
      </c>
      <c r="E91" s="18"/>
      <c r="F91" s="16">
        <v>0.952971498</v>
      </c>
      <c r="G91" s="31"/>
    </row>
    <row r="92" ht="22.5" customHeight="1">
      <c r="B92" s="16"/>
      <c r="C92" s="24" t="s">
        <v>25</v>
      </c>
      <c r="D92" s="16">
        <v>2.0</v>
      </c>
      <c r="E92" s="18"/>
      <c r="F92" s="16">
        <v>0.957456855</v>
      </c>
      <c r="G92" s="31"/>
    </row>
    <row r="93" ht="22.5" customHeight="1">
      <c r="B93" s="16"/>
      <c r="C93" s="24" t="s">
        <v>21</v>
      </c>
      <c r="D93" s="16">
        <v>0.0</v>
      </c>
      <c r="E93" s="18"/>
      <c r="F93" s="16">
        <v>0.626681156</v>
      </c>
      <c r="G93" s="31"/>
    </row>
    <row r="94" ht="22.5" customHeight="1">
      <c r="B94" s="16"/>
      <c r="C94" s="24" t="s">
        <v>21</v>
      </c>
      <c r="D94" s="16">
        <v>1.0</v>
      </c>
      <c r="E94" s="18"/>
      <c r="F94" s="16">
        <v>0.626681156</v>
      </c>
      <c r="G94" s="31"/>
    </row>
    <row r="95" ht="22.5" customHeight="1">
      <c r="B95" s="16"/>
      <c r="C95" s="24" t="s">
        <v>21</v>
      </c>
      <c r="D95" s="16">
        <v>2.0</v>
      </c>
      <c r="E95" s="18"/>
      <c r="F95" s="16">
        <v>0.626681156</v>
      </c>
      <c r="G95" s="31"/>
    </row>
    <row r="96" ht="22.5" customHeight="1">
      <c r="B96" s="16"/>
      <c r="C96" s="24" t="s">
        <v>22</v>
      </c>
      <c r="D96" s="16">
        <v>0.0</v>
      </c>
      <c r="E96" s="18"/>
      <c r="F96" s="16">
        <v>0.626681156</v>
      </c>
      <c r="G96" s="31"/>
    </row>
    <row r="97" ht="22.5" customHeight="1">
      <c r="B97" s="16"/>
      <c r="C97" s="24" t="s">
        <v>22</v>
      </c>
      <c r="D97" s="16">
        <v>1.0</v>
      </c>
      <c r="E97" s="18"/>
      <c r="F97" s="16">
        <v>0.626681156</v>
      </c>
      <c r="G97" s="31"/>
    </row>
    <row r="98" ht="22.5" customHeight="1">
      <c r="B98" s="16"/>
      <c r="C98" s="24" t="s">
        <v>22</v>
      </c>
      <c r="D98" s="16">
        <v>2.0</v>
      </c>
      <c r="E98" s="18"/>
      <c r="F98" s="16">
        <v>0.626681156</v>
      </c>
      <c r="G98" s="31"/>
    </row>
    <row r="99" ht="22.5" customHeight="1">
      <c r="B99" s="16"/>
      <c r="C99" s="24" t="s">
        <v>23</v>
      </c>
      <c r="D99" s="16">
        <v>0.0</v>
      </c>
      <c r="E99" s="18"/>
      <c r="F99" s="16">
        <v>0.626681156</v>
      </c>
      <c r="G99" s="31"/>
    </row>
    <row r="100" ht="22.5" customHeight="1">
      <c r="B100" s="16"/>
      <c r="C100" s="24" t="s">
        <v>23</v>
      </c>
      <c r="D100" s="16">
        <v>1.0</v>
      </c>
      <c r="E100" s="18"/>
      <c r="F100" s="16">
        <v>0.626681156</v>
      </c>
      <c r="G100" s="31"/>
    </row>
    <row r="101" ht="22.5" customHeight="1">
      <c r="B101" s="16"/>
      <c r="C101" s="24" t="s">
        <v>23</v>
      </c>
      <c r="D101" s="16">
        <v>2.0</v>
      </c>
      <c r="E101" s="18"/>
      <c r="F101" s="16">
        <v>0.626681156</v>
      </c>
      <c r="G101" s="31"/>
    </row>
  </sheetData>
  <mergeCells count="2">
    <mergeCell ref="B2:P2"/>
    <mergeCell ref="B15:P15"/>
  </mergeCells>
  <drawing r:id="rId1"/>
  <tableParts count="4">
    <tablePart r:id="rId6"/>
    <tablePart r:id="rId7"/>
    <tablePart r:id="rId8"/>
    <tablePart r:id="rId9"/>
  </tableParts>
</worksheet>
</file>